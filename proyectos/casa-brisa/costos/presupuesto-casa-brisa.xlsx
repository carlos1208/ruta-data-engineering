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tidas" sheetId="2" state="visible" r:id="rId2"/>
    <sheet xmlns:r="http://schemas.openxmlformats.org/officeDocument/2006/relationships" name="Capítulos" sheetId="3" state="visible" r:id="rId3"/>
    <sheet xmlns:r="http://schemas.openxmlformats.org/officeDocument/2006/relationships" name="Cronograma" sheetId="4" state="visible" r:id="rId4"/>
    <sheet xmlns:r="http://schemas.openxmlformats.org/officeDocument/2006/relationships" name="Flujo de caja" sheetId="5" state="visible" r:id="rId5"/>
    <sheet xmlns:r="http://schemas.openxmlformats.org/officeDocument/2006/relationships" name="Precios y fuentes" sheetId="6" state="visible" r:id="rId6"/>
  </sheets>
  <definedNames>
    <definedName name="_xlnm._FilterDatabase" localSheetId="1" hidden="1">'Partidas'!$A$4:$R$86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dd-mmm-yy"/>
    <numFmt numFmtId="167" formatCode="yyyy-mm-dd"/>
  </numFmts>
  <fonts count="10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4"/>
    </font>
    <font>
      <b val="1"/>
      <sz val="12"/>
    </font>
    <font>
      <i val="1"/>
    </font>
    <font>
      <sz val="8"/>
    </font>
    <font>
      <color rgb="00FFFFFF"/>
      <sz val="7"/>
    </font>
    <font/>
  </fonts>
  <fills count="4">
    <fill>
      <patternFill/>
    </fill>
    <fill>
      <patternFill patternType="gray125"/>
    </fill>
    <fill>
      <patternFill patternType="solid">
        <fgColor rgb="001F2A2E"/>
      </patternFill>
    </fill>
    <fill>
      <patternFill patternType="solid">
        <fgColor rgb="00FFF6DC"/>
      </patternFill>
    </fill>
  </fills>
  <borders count="3">
    <border>
      <left/>
      <right/>
      <top/>
      <bottom/>
      <diagonal/>
    </border>
    <border>
      <left style="thin">
        <color rgb="00D5DADC"/>
      </left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164" fontId="3" fillId="0" borderId="0" pivotButton="0" quotePrefix="0" xfId="0"/>
    <xf numFmtId="0" fontId="7" fillId="0" borderId="0" pivotButton="0" quotePrefix="0" xfId="0"/>
    <xf numFmtId="0" fontId="2" fillId="2" borderId="0" applyAlignment="1" pivotButton="0" quotePrefix="0" xfId="0">
      <alignment wrapText="1"/>
    </xf>
    <xf numFmtId="0" fontId="8" fillId="2" borderId="0" pivotButton="0" quotePrefix="0" xfId="0"/>
    <xf numFmtId="166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2A78D6"/>
          <bgColor rgb="002A78D6"/>
        </patternFill>
      </fill>
    </dxf>
    <dxf>
      <fill>
        <patternFill patternType="solid">
          <fgColor rgb="00EB6834"/>
          <bgColor rgb="00EB6834"/>
        </patternFill>
      </fill>
    </dxf>
    <dxf>
      <fill>
        <patternFill patternType="solid">
          <fgColor rgb="001BAF7A"/>
          <bgColor rgb="001BAF7A"/>
        </patternFill>
      </fill>
    </dxf>
    <dxf>
      <fill>
        <patternFill patternType="solid">
          <fgColor rgb="00EDA100"/>
          <bgColor rgb="00EDA1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oneestimate.ai/es/blog/costos-construccion-por-m2-colombia-2026" TargetMode="External" Id="rId1"/><Relationship Type="http://schemas.openxmlformats.org/officeDocument/2006/relationships/hyperlink" Target="https://vivienda.com.co/precio-metro-cuadrado-construccion-colombia-2026/" TargetMode="External" Id="rId2"/><Relationship Type="http://schemas.openxmlformats.org/officeDocument/2006/relationships/hyperlink" Target="https://www.bancolombia.com/empresas/capital-inteligente/actualidad-economica-sectorial/costos-construccion-colombia-mano-obra" TargetMode="External" Id="rId3"/><Relationship Type="http://schemas.openxmlformats.org/officeDocument/2006/relationships/hyperlink" Target="https://oneestimate.ai/es/blog/aiu-colombia-guia-completa" TargetMode="External" Id="rId4"/><Relationship Type="http://schemas.openxmlformats.org/officeDocument/2006/relationships/hyperlink" Target="https://www.ambitojuridico.com/sites/default/files/2024-08/Sent-SL-14862024%2898982%29-24.pdf" TargetMode="External" Id="rId5"/><Relationship Type="http://schemas.openxmlformats.org/officeDocument/2006/relationships/hyperlink" Target="https://barranquilla.gov.co/documento/resolucion-dsh-no-002-de-2024-18-de-diciembre-de-2024-delineacion-urbana/?version=1" TargetMode="External" Id="rId6"/><Relationship Type="http://schemas.openxmlformats.org/officeDocument/2006/relationships/hyperlink" Target="https://barranquilla.gov.co/documento/gaceta-no-1252-2/?version=1" TargetMode="External" Id="rId7"/><Relationship Type="http://schemas.openxmlformats.org/officeDocument/2006/relationships/hyperlink" Target="https://www.gerencie.com/iva-en-contratos-de-construccion-de-bienes-inmuebles.html" TargetMode="External" Id="rId8"/><Relationship Type="http://schemas.openxmlformats.org/officeDocument/2006/relationships/hyperlink" Target="https://ukucela.com/blog/precio-metro-cuadrado-barranquilla-2026" TargetMode="External" Id="rId9"/><Relationship Type="http://schemas.openxmlformats.org/officeDocument/2006/relationships/hyperlink" Target="https://consultorsalud.com/aumento-del-salario-minimo-en-colombia-2026/" TargetMode="External" Id="rId10"/><Relationship Type="http://schemas.openxmlformats.org/officeDocument/2006/relationships/hyperlink" Target="https://normativa.colpensiones.gov.co/compilacion/docs/decreto_1470_2025.htm" TargetMode="External" Id="rId11"/><Relationship Type="http://schemas.openxmlformats.org/officeDocument/2006/relationships/hyperlink" Target="https://www.elempleo.com/co/ofertas-trabajo/oficial-de-obra-vivienda-barranquilla-1886774152" TargetMode="External" Id="rId12"/><Relationship Type="http://schemas.openxmlformats.org/officeDocument/2006/relationships/hyperlink" Target="https://cazvid.com/empleo/ayudante-de-obra-civil-11761c" TargetMode="External" Id="rId13"/><Relationship Type="http://schemas.openxmlformats.org/officeDocument/2006/relationships/hyperlink" Target="https://www.gerencie.com/porcentajes-prestaciones-sociales.html" TargetMode="External" Id="rId14"/><Relationship Type="http://schemas.openxmlformats.org/officeDocument/2006/relationships/hyperlink" Target="https://www.elempleo.com/co/ofertas-trabajo/barranquilla-residente-tecnico-de-obra-vivienda-multifamiliar-1886695903" TargetMode="External" Id="rId15"/><Relationship Type="http://schemas.openxmlformats.org/officeDocument/2006/relationships/hyperlink" Target="https://www.elempleo.com/co/ofertas-trabajo/maestro-de-obra-bodegas-barranquilla-1886712301" TargetMode="External" Id="rId16"/><Relationship Type="http://schemas.openxmlformats.org/officeDocument/2006/relationships/hyperlink" Target="https://oneestimate.ai/es/blog/valor-m2-mano-obra-construccion-colombia-2026" TargetMode="External" Id="rId17"/><Relationship Type="http://schemas.openxmlformats.org/officeDocument/2006/relationships/hyperlink" Target="https://oneestimate.ai/es/blog/valor-m2-mano-obra-construccion-colombia-2026" TargetMode="External" Id="rId18"/><Relationship Type="http://schemas.openxmlformats.org/officeDocument/2006/relationships/hyperlink" Target="https://oneestimate.ai/es/blog/valor-m2-mano-obra-construccion-colombia-2026" TargetMode="External" Id="rId19"/><Relationship Type="http://schemas.openxmlformats.org/officeDocument/2006/relationships/hyperlink" Target="https://www.homecenter.com.co/homecenter-co/product/701381/instal-ceramico-pisoguarda-m2-de-60-cm-a-80-int/701381/" TargetMode="External" Id="rId20"/><Relationship Type="http://schemas.openxmlformats.org/officeDocument/2006/relationships/hyperlink" Target="https://presucosto.com/blog/mano-obra-construccion-colombia-2026-precios" TargetMode="External" Id="rId21"/><Relationship Type="http://schemas.openxmlformats.org/officeDocument/2006/relationships/hyperlink" Target="https://oneestimate.ai/es/blog/precios-mano-obra-construccion-colombia-2026" TargetMode="External" Id="rId22"/><Relationship Type="http://schemas.openxmlformats.org/officeDocument/2006/relationships/hyperlink" Target="https://starhouse.com.co/instalacion-piso-madera-precio/" TargetMode="External" Id="rId23"/><Relationship Type="http://schemas.openxmlformats.org/officeDocument/2006/relationships/hyperlink" Target="https://oneestimate.ai/es/blog/valor-m2-mano-obra-construccion-colombia-2026" TargetMode="External" Id="rId24"/><Relationship Type="http://schemas.openxmlformats.org/officeDocument/2006/relationships/hyperlink" Target="https://oneestimate.ai/es/blog/precios-mano-obra-construccion-colombia-2026" TargetMode="External" Id="rId25"/><Relationship Type="http://schemas.openxmlformats.org/officeDocument/2006/relationships/hyperlink" Target="https://www.valoraanalitik.com/?p=548373" TargetMode="External" Id="rId26"/><Relationship Type="http://schemas.openxmlformats.org/officeDocument/2006/relationships/hyperlink" Target="https://presucosto.com/blog/precios-materiales-construccion-colombia-2026" TargetMode="External" Id="rId27"/><Relationship Type="http://schemas.openxmlformats.org/officeDocument/2006/relationships/hyperlink" Target="https://presucosto.com/blog/precios-materiales-construccion-colombia-2026" TargetMode="External" Id="rId28"/><Relationship Type="http://schemas.openxmlformats.org/officeDocument/2006/relationships/hyperlink" Target="https://www.homecenter.com.co/homecenter-co/product/73637/varilla-g-60-w-1-2pulg-x6m-corrugada/73637/" TargetMode="External" Id="rId29"/><Relationship Type="http://schemas.openxmlformats.org/officeDocument/2006/relationships/hyperlink" Target="https://www.homecenter.com.co/homecenter-co/product/63172/bloque-n5-estandar-12x20x30cm-6k-15u-m2/63172/" TargetMode="External" Id="rId30"/><Relationship Type="http://schemas.openxmlformats.org/officeDocument/2006/relationships/hyperlink" Target="https://www.metropoliscenter.com.co/p/cemento-gris-x-50-kg-argos/" TargetMode="External" Id="rId31"/><Relationship Type="http://schemas.openxmlformats.org/officeDocument/2006/relationships/hyperlink" Target="https://www.construramacolombia.com/CENTRALDEMATERIALES/catalogo/materiales-de-construccion/arenas/arena-de-pena-x-m3/p/100000947" TargetMode="External" Id="rId32"/><Relationship Type="http://schemas.openxmlformats.org/officeDocument/2006/relationships/hyperlink" Target="https://www.iccu.gov.co/wcm/connect/ICCU/8455ae14-62a2-4597-842a-57d66960e5df/LISTA+DE+PRECIOS+ICCU+2025.pdf?MOD=AJPERES&amp;CVID=piU1ELe" TargetMode="External" Id="rId33"/><Relationship Type="http://schemas.openxmlformats.org/officeDocument/2006/relationships/hyperlink" Target="https://oneestimate.ai/es/blog/costos-construccion-por-m2-colombia-2026" TargetMode="External" Id="rId34"/><Relationship Type="http://schemas.openxmlformats.org/officeDocument/2006/relationships/hyperlink" Target="https://admin.edubar.com.co/vistas/docs/SA-07-2022/18.pdf" TargetMode="External" Id="rId35"/><Relationship Type="http://schemas.openxmlformats.org/officeDocument/2006/relationships/hyperlink" Target="https://www.emcali.com.co/documents/d/guest/lista-de-precios-emcali-2025-oficial" TargetMode="External" Id="rId36"/><Relationship Type="http://schemas.openxmlformats.org/officeDocument/2006/relationships/hyperlink" Target="https://redingenieros.com/2026/08/17/pilotes-en-colombia-cuando-son-la-solucion-y-cuanto-cuesta-instalarlos-en-2026/" TargetMode="External" Id="rId37"/><Relationship Type="http://schemas.openxmlformats.org/officeDocument/2006/relationships/hyperlink" Target="https://www.asmex.com.co/novedades/cuanto-cuesta-una-impermeabilizacion-en-colombia/" TargetMode="External" Id="rId38"/><Relationship Type="http://schemas.openxmlformats.org/officeDocument/2006/relationships/hyperlink" Target="https://herramientaspro.com.co/ing-civil/apu-precios-unitarios/" TargetMode="External" Id="rId39"/><Relationship Type="http://schemas.openxmlformats.org/officeDocument/2006/relationships/hyperlink" Target="https://www.homecenter.com.co/homecenter-co/product/3047648/piso-porcelanato-absolute-60x120-cm-caja-144-m2-corona/3047648/" TargetMode="External" Id="rId40"/><Relationship Type="http://schemas.openxmlformats.org/officeDocument/2006/relationships/hyperlink" Target="https://www.homecenter.com.co/homecenter-co/product/411972/piso-en-madera-caja-214-m2-natural/411972/" TargetMode="External" Id="rId41"/><Relationship Type="http://schemas.openxmlformats.org/officeDocument/2006/relationships/hyperlink" Target="http://www.colombia.generadordeprecios.info/espacios_urbanos/Firmes_y_pisos_urbanos/Pisos_urbanos/Continuos_de_microcemento/Piso_continuo_de_microcemento.html" TargetMode="External" Id="rId42"/><Relationship Type="http://schemas.openxmlformats.org/officeDocument/2006/relationships/hyperlink" Target="https://www.expoareniscas.com/producto/piedra-coralina/" TargetMode="External" Id="rId43"/><Relationship Type="http://schemas.openxmlformats.org/officeDocument/2006/relationships/hyperlink" Target="https://www.boyaca.gov.co/wp-content/uploads/2025/05/Anexo-1-Listado-de-APUS-resumido.pdf" TargetMode="External" Id="rId44"/><Relationship Type="http://schemas.openxmlformats.org/officeDocument/2006/relationships/hyperlink" Target="https://www.homecenter.com.co/homecenter-co/product/725622/pintura-1-galon-koraza-impermeabilizante-blanco-pintuco/725622/" TargetMode="External" Id="rId45"/><Relationship Type="http://schemas.openxmlformats.org/officeDocument/2006/relationships/hyperlink" Target="https://geztio.co/upa/co/cielo-raso-en-drywall" TargetMode="External" Id="rId46"/><Relationship Type="http://schemas.openxmlformats.org/officeDocument/2006/relationships/hyperlink" Target="https://forandes.com/producto/construccion-de-piso-deck-en-madera-teca-exterior/" TargetMode="External" Id="rId47"/><Relationship Type="http://schemas.openxmlformats.org/officeDocument/2006/relationships/hyperlink" Target="https://meup.co/categoria/piscinas" TargetMode="External" Id="rId48"/><Relationship Type="http://schemas.openxmlformats.org/officeDocument/2006/relationships/hyperlink" Target="https://forandes.com/producto/liston-de-deck-en-teca-8-cm-x-1-8-cm-por-metro-cuadrado/" TargetMode="External" Id="rId49"/><Relationship Type="http://schemas.openxmlformats.org/officeDocument/2006/relationships/hyperlink" Target="https://www.boyaca.gov.co/wp-content/uploads/2025/05/Anexo-1-Listado-de-APUS-resumido.pdf" TargetMode="External" Id="rId50"/><Relationship Type="http://schemas.openxmlformats.org/officeDocument/2006/relationships/hyperlink" Target="https://disenosyestructurasjh.com/producto/ventana-corrediza/" TargetMode="External" Id="rId51"/><Relationship Type="http://schemas.openxmlformats.org/officeDocument/2006/relationships/hyperlink" Target="https://roomix.ai/blog/cuanto-cuesta-renovar-cocina-2026" TargetMode="External" Id="rId52"/><Relationship Type="http://schemas.openxmlformats.org/officeDocument/2006/relationships/hyperlink" Target="https://oneestimate.ai/blog/apu-instalaciones-electricas-construccion" TargetMode="External" Id="rId53"/><Relationship Type="http://schemas.openxmlformats.org/officeDocument/2006/relationships/hyperlink" Target="https://oneestimate.ai/blog/apu-instalaciones-electricas-construccion" TargetMode="External" Id="rId54"/><Relationship Type="http://schemas.openxmlformats.org/officeDocument/2006/relationships/hyperlink" Target="https://cuantomecuesta.com/co/aire-acondicionado/" TargetMode="External" Id="rId55"/><Relationship Type="http://schemas.openxmlformats.org/officeDocument/2006/relationships/hyperlink" Target="https://cuantomecuesta.com/co/aire-acondicionado/" TargetMode="External" Id="rId56"/><Relationship Type="http://schemas.openxmlformats.org/officeDocument/2006/relationships/hyperlink" Target="https://www.opscolombia.com/blog/cuanto-cuesta-realmente-un-sistema-solar-en-colombia" TargetMode="External" Id="rId57"/><Relationship Type="http://schemas.openxmlformats.org/officeDocument/2006/relationships/hyperlink" Target="https://cotizar2026.constructorajhdez.com/" TargetMode="External" Id="rId58"/><Relationship Type="http://schemas.openxmlformats.org/officeDocument/2006/relationships/hyperlink" Target="https://curaduria1medellin.com/descargas/expensas.pdf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Casa Brisa · costo total del proyecto</t>
        </is>
      </c>
    </row>
    <row r="2">
      <c r="A2" t="inlineStr">
        <is>
          <t>Barranquilla, precios de octubre de 2026. Celdas amarillas: parámetros editables.</t>
        </is>
      </c>
    </row>
    <row r="4">
      <c r="A4" s="2" t="inlineStr">
        <is>
          <t>Parámetro</t>
        </is>
      </c>
      <c r="B4" s="2" t="inlineStr">
        <is>
          <t>Bajo</t>
        </is>
      </c>
      <c r="C4" s="2" t="inlineStr">
        <is>
          <t>Medio</t>
        </is>
      </c>
      <c r="D4" s="2" t="inlineStr">
        <is>
          <t>Alto</t>
        </is>
      </c>
      <c r="E4" s="2" t="inlineStr">
        <is>
          <t>Fuente</t>
        </is>
      </c>
    </row>
    <row r="5">
      <c r="A5" t="inlineStr">
        <is>
          <t>Área construida (m²)</t>
        </is>
      </c>
      <c r="B5" s="3" t="n">
        <v>251.44</v>
      </c>
      <c r="C5" s="3" t="n">
        <v>251.44</v>
      </c>
      <c r="D5" s="3" t="n">
        <v>251.44</v>
      </c>
      <c r="E5" t="inlineStr">
        <is>
          <t>supuesto propio</t>
        </is>
      </c>
    </row>
    <row r="6">
      <c r="A6" t="inlineStr">
        <is>
          <t>Diseño arquitectónico (COP/m²)</t>
        </is>
      </c>
      <c r="B6" s="4" t="n">
        <v>45000</v>
      </c>
      <c r="C6" s="4" t="n">
        <v>70000</v>
      </c>
      <c r="D6" s="4" t="n">
        <v>110000</v>
      </c>
      <c r="E6" t="inlineStr">
        <is>
          <t>S2: Diseño arquitectónico completo (anteproyecto, proyecto y pla</t>
        </is>
      </c>
    </row>
    <row r="7">
      <c r="A7" t="inlineStr">
        <is>
          <t>Diseño estructural (COP/m²)</t>
        </is>
      </c>
      <c r="B7" s="4" t="n">
        <v>12000</v>
      </c>
      <c r="C7" s="4" t="n">
        <v>18000</v>
      </c>
      <c r="D7" s="4" t="n">
        <v>28000</v>
      </c>
      <c r="E7" t="inlineStr">
        <is>
          <t>S3: Diseño estructural NSR-10</t>
        </is>
      </c>
    </row>
    <row r="8">
      <c r="A8" t="inlineStr">
        <is>
          <t>Diseños eléctrico e hidrosanitario (COP)</t>
        </is>
      </c>
      <c r="B8" s="4" t="n">
        <v>5000000</v>
      </c>
      <c r="C8" s="4" t="n">
        <v>8000000</v>
      </c>
      <c r="D8" s="4" t="n">
        <v>12000000</v>
      </c>
      <c r="E8" t="inlineStr">
        <is>
          <t>S4: Diseños eléctrico RETIE, hidrosanitario y de gas</t>
        </is>
      </c>
    </row>
    <row r="9">
      <c r="A9" t="inlineStr">
        <is>
          <t>Estudio de suelos (COP)</t>
        </is>
      </c>
      <c r="B9" s="4" t="n">
        <v>3000000</v>
      </c>
      <c r="C9" s="4" t="n">
        <v>4500000</v>
      </c>
      <c r="D9" s="4" t="n">
        <v>7000000</v>
      </c>
      <c r="E9" t="inlineStr">
        <is>
          <t>S1: Estudio de suelos con ensayos de expansión</t>
        </is>
      </c>
    </row>
    <row r="10">
      <c r="A10" t="inlineStr">
        <is>
          <t>Levantamiento topográfico (COP)</t>
        </is>
      </c>
      <c r="B10" s="4" t="n">
        <v>1200000</v>
      </c>
      <c r="C10" s="4" t="n">
        <v>1800000</v>
      </c>
      <c r="D10" s="4" t="n">
        <v>2800000</v>
      </c>
      <c r="E10" t="inlineStr">
        <is>
          <t>S7: Levantamiento topográfico</t>
        </is>
      </c>
    </row>
    <row r="11">
      <c r="A11" t="inlineStr">
        <is>
          <t>Expensas de curaduría (COP)</t>
        </is>
      </c>
      <c r="B11" s="4" t="n">
        <v>9000000</v>
      </c>
      <c r="C11" s="4" t="n">
        <v>9900000</v>
      </c>
      <c r="D11" s="4" t="n">
        <v>11000000</v>
      </c>
      <c r="E11" t="inlineStr">
        <is>
          <t>S5: Expensas de licencia de construcción en curaduría (251 m², e</t>
        </is>
      </c>
    </row>
    <row r="12">
      <c r="A12" t="inlineStr">
        <is>
          <t>AIU (% del costo directo)</t>
        </is>
      </c>
      <c r="B12" s="5" t="n">
        <v>0.18</v>
      </c>
      <c r="C12" s="5" t="n">
        <v>0.25</v>
      </c>
      <c r="D12" s="5" t="n">
        <v>0.3</v>
      </c>
      <c r="E12" t="inlineStr">
        <is>
          <t>B4: AIU total típico de contratista a precio global en vivienda</t>
        </is>
      </c>
    </row>
    <row r="13">
      <c r="A13" t="inlineStr">
        <is>
          <t>Interventoría (% del costo directo)</t>
        </is>
      </c>
      <c r="B13" s="5" t="n">
        <v>0.03</v>
      </c>
      <c r="C13" s="5" t="n">
        <v>0.04</v>
      </c>
      <c r="D13" s="5" t="n">
        <v>0.06</v>
      </c>
      <c r="E13" t="inlineStr">
        <is>
          <t>S6: Interventoría o supervisión técnica</t>
        </is>
      </c>
    </row>
    <row r="14">
      <c r="A14" t="inlineStr">
        <is>
          <t>Delineación urbana (% de la obra)</t>
        </is>
      </c>
      <c r="B14" s="5" t="n">
        <v>0.03</v>
      </c>
      <c r="C14" s="5" t="n">
        <v>0.03</v>
      </c>
      <c r="D14" s="5" t="n">
        <v>0.03</v>
      </c>
      <c r="E14" t="inlineStr">
        <is>
          <t>B6: Tarifa del impuesto de delineación urbana en Barranquilla</t>
        </is>
      </c>
    </row>
    <row r="15">
      <c r="A15" t="inlineStr">
        <is>
          <t>Base mínima de delineación (COP/m²)</t>
        </is>
      </c>
      <c r="B15" s="4" t="n">
        <v>2019139</v>
      </c>
      <c r="C15" s="4" t="n">
        <v>2019139</v>
      </c>
      <c r="D15" s="4" t="n">
        <v>2019139</v>
      </c>
      <c r="E15" t="inlineStr">
        <is>
          <t>B7: Costo mínimo por m², uso residencial estrato 6, unifamiliar-</t>
        </is>
      </c>
    </row>
    <row r="16">
      <c r="A16" t="inlineStr">
        <is>
          <t>Utilidad dentro del AIU</t>
        </is>
      </c>
      <c r="B16" s="5" t="n">
        <v>0.3</v>
      </c>
      <c r="C16" s="5" t="n">
        <v>0.3</v>
      </c>
      <c r="D16" s="5" t="n">
        <v>0.3</v>
      </c>
      <c r="E16" t="inlineStr">
        <is>
          <t>supuesto propio</t>
        </is>
      </c>
    </row>
    <row r="17">
      <c r="A17" t="inlineStr">
        <is>
          <t>IVA sobre la utilidad</t>
        </is>
      </c>
      <c r="B17" s="5" t="n">
        <v>0.19</v>
      </c>
      <c r="C17" s="5" t="n">
        <v>0.19</v>
      </c>
      <c r="D17" s="5" t="n">
        <v>0.19</v>
      </c>
      <c r="E17" t="inlineStr">
        <is>
          <t>B8: IVA sobre la utilidad en contratos de obra con AIU</t>
        </is>
      </c>
    </row>
    <row r="18">
      <c r="A18" t="inlineStr">
        <is>
          <t>Pólizas (% del contrato)</t>
        </is>
      </c>
      <c r="B18" s="5" t="n">
        <v>0.006</v>
      </c>
      <c r="C18" s="5" t="n">
        <v>0.009000000000000001</v>
      </c>
      <c r="D18" s="5" t="n">
        <v>0.013</v>
      </c>
      <c r="E18" t="inlineStr">
        <is>
          <t>S8: Pólizas de cumplimiento y responsabilidad civil</t>
        </is>
      </c>
    </row>
    <row r="20">
      <c r="A20" s="2" t="inlineStr">
        <is>
          <t>Concepto</t>
        </is>
      </c>
      <c r="B20" s="2" t="inlineStr">
        <is>
          <t>Bajo</t>
        </is>
      </c>
      <c r="C20" s="2" t="inlineStr">
        <is>
          <t>Medio</t>
        </is>
      </c>
      <c r="D20" s="2" t="inlineStr">
        <is>
          <t>Alto</t>
        </is>
      </c>
      <c r="E20" s="2" t="inlineStr">
        <is>
          <t>Cómo se calcula</t>
        </is>
      </c>
    </row>
    <row r="21">
      <c r="A21" t="inlineStr">
        <is>
          <t>Costo directo de obra</t>
        </is>
      </c>
      <c r="B21" s="6">
        <f>Partidas!K87</f>
        <v/>
      </c>
      <c r="C21" s="6">
        <f>Partidas!L87</f>
        <v/>
      </c>
      <c r="D21" s="6">
        <f>Partidas!M87</f>
        <v/>
      </c>
      <c r="E21" t="inlineStr">
        <is>
          <t>suma de las partidas</t>
        </is>
      </c>
    </row>
    <row r="22">
      <c r="A22" t="inlineStr">
        <is>
          <t>Diseño arquitectónico</t>
        </is>
      </c>
      <c r="B22" s="6">
        <f>B6*B5</f>
        <v/>
      </c>
      <c r="C22" s="6">
        <f>C6*C5</f>
        <v/>
      </c>
      <c r="D22" s="6">
        <f>D6*D5</f>
        <v/>
      </c>
      <c r="E22" t="inlineStr">
        <is>
          <t>S2 × área</t>
        </is>
      </c>
    </row>
    <row r="23">
      <c r="A23" t="inlineStr">
        <is>
          <t>Diseño estructural NSR-10</t>
        </is>
      </c>
      <c r="B23" s="6">
        <f>B7*B5</f>
        <v/>
      </c>
      <c r="C23" s="6">
        <f>C7*C5</f>
        <v/>
      </c>
      <c r="D23" s="6">
        <f>D7*D5</f>
        <v/>
      </c>
      <c r="E23" t="inlineStr">
        <is>
          <t>S3 × área</t>
        </is>
      </c>
    </row>
    <row r="24">
      <c r="A24" t="inlineStr">
        <is>
          <t>Diseños eléctrico RETIE e hidrosanitario</t>
        </is>
      </c>
      <c r="B24" s="6">
        <f>B8</f>
        <v/>
      </c>
      <c r="C24" s="6">
        <f>C8</f>
        <v/>
      </c>
      <c r="D24" s="6">
        <f>D8</f>
        <v/>
      </c>
      <c r="E24" t="inlineStr">
        <is>
          <t>S4</t>
        </is>
      </c>
    </row>
    <row r="25">
      <c r="A25" t="inlineStr">
        <is>
          <t>Estudio de suelos</t>
        </is>
      </c>
      <c r="B25" s="6">
        <f>B9</f>
        <v/>
      </c>
      <c r="C25" s="6">
        <f>C9</f>
        <v/>
      </c>
      <c r="D25" s="6">
        <f>D9</f>
        <v/>
      </c>
      <c r="E25" t="inlineStr">
        <is>
          <t>S1</t>
        </is>
      </c>
    </row>
    <row r="26">
      <c r="A26" t="inlineStr">
        <is>
          <t>Levantamiento topográfico</t>
        </is>
      </c>
      <c r="B26" s="6">
        <f>B10</f>
        <v/>
      </c>
      <c r="C26" s="6">
        <f>C10</f>
        <v/>
      </c>
      <c r="D26" s="6">
        <f>D10</f>
        <v/>
      </c>
      <c r="E26" t="inlineStr">
        <is>
          <t>S7</t>
        </is>
      </c>
    </row>
    <row r="27">
      <c r="A27" t="inlineStr">
        <is>
          <t>Expensas de licencia (curaduría)</t>
        </is>
      </c>
      <c r="B27" s="6">
        <f>B11</f>
        <v/>
      </c>
      <c r="C27" s="6">
        <f>C11</f>
        <v/>
      </c>
      <c r="D27" s="6">
        <f>D11</f>
        <v/>
      </c>
      <c r="E27" t="inlineStr">
        <is>
          <t>S5</t>
        </is>
      </c>
    </row>
    <row r="28">
      <c r="A28" t="inlineStr">
        <is>
          <t>Impuesto de delineación urbana</t>
        </is>
      </c>
      <c r="B28" s="6">
        <f>B14*MAX(B21*(1+B12),B15*B5)</f>
        <v/>
      </c>
      <c r="C28" s="6">
        <f>C14*MAX(C21*(1+C12),C15*C5)</f>
        <v/>
      </c>
      <c r="D28" s="6">
        <f>D14*MAX(D21*(1+D12),D15*D5)</f>
        <v/>
      </c>
      <c r="E28" t="inlineStr">
        <is>
          <t>B6 × mayor entre obra con AIU y B7 × área</t>
        </is>
      </c>
    </row>
    <row r="29">
      <c r="A29" t="inlineStr">
        <is>
          <t>Interventoría</t>
        </is>
      </c>
      <c r="B29" s="6">
        <f>B13*B21</f>
        <v/>
      </c>
      <c r="C29" s="6">
        <f>C13*C21</f>
        <v/>
      </c>
      <c r="D29" s="6">
        <f>D13*D21</f>
        <v/>
      </c>
      <c r="E29" t="inlineStr">
        <is>
          <t>S6 × costo directo</t>
        </is>
      </c>
    </row>
    <row r="30">
      <c r="A30" t="inlineStr">
        <is>
          <t>AIU del constructor</t>
        </is>
      </c>
      <c r="B30" s="6">
        <f>B12*B21</f>
        <v/>
      </c>
      <c r="C30" s="6">
        <f>C12*C21</f>
        <v/>
      </c>
      <c r="D30" s="6">
        <f>D12*D21</f>
        <v/>
      </c>
      <c r="E30" t="inlineStr">
        <is>
          <t>B4 × costo directo</t>
        </is>
      </c>
    </row>
    <row r="31">
      <c r="A31" t="inlineStr">
        <is>
          <t>IVA sobre la utilidad</t>
        </is>
      </c>
      <c r="B31" s="6">
        <f>B17*B16*B12*B21</f>
        <v/>
      </c>
      <c r="C31" s="6">
        <f>C17*C16*C12*C21</f>
        <v/>
      </c>
      <c r="D31" s="6">
        <f>D17*D16*D12*D21</f>
        <v/>
      </c>
      <c r="E31" t="inlineStr">
        <is>
          <t>B8 × utilidad (30 % del AIU)</t>
        </is>
      </c>
    </row>
    <row r="32">
      <c r="A32" t="inlineStr">
        <is>
          <t>Pólizas</t>
        </is>
      </c>
      <c r="B32" s="6">
        <f>B18*B21*(1+B12)</f>
        <v/>
      </c>
      <c r="C32" s="6">
        <f>C18*C21*(1+C12)</f>
        <v/>
      </c>
      <c r="D32" s="6">
        <f>D18*D21*(1+D12)</f>
        <v/>
      </c>
      <c r="E32" t="inlineStr">
        <is>
          <t>S8 × valor del contrato</t>
        </is>
      </c>
    </row>
    <row r="33">
      <c r="A33" s="7" t="inlineStr">
        <is>
          <t>Total del proyecto</t>
        </is>
      </c>
      <c r="B33" s="8">
        <f>SUM(B21:B32)</f>
        <v/>
      </c>
      <c r="C33" s="8">
        <f>SUM(C21:C32)</f>
        <v/>
      </c>
      <c r="D33" s="8">
        <f>SUM(D21:D32)</f>
        <v/>
      </c>
    </row>
    <row r="34">
      <c r="A34" t="inlineStr">
        <is>
          <t>Total por m² construido</t>
        </is>
      </c>
      <c r="B34" s="6">
        <f>B33/B5</f>
        <v/>
      </c>
      <c r="C34" s="6">
        <f>C33/C5</f>
        <v/>
      </c>
      <c r="D34" s="6">
        <f>D33/D5</f>
        <v/>
      </c>
    </row>
    <row r="35">
      <c r="A35" t="inlineStr">
        <is>
          <t>Mano de obra (% del costo directo)</t>
        </is>
      </c>
      <c r="B35" s="9">
        <f>Partidas!N87/Partidas!K87</f>
        <v/>
      </c>
      <c r="C35" s="9">
        <f>Partidas!O87/Partidas!L87</f>
        <v/>
      </c>
      <c r="D35" s="9">
        <f>Partidas!P87/Partidas!M87</f>
        <v/>
      </c>
    </row>
    <row r="37">
      <c r="A37" s="10" t="inlineStr">
        <is>
          <t>Valores de referencia calculados por presupuesto.py (deben coincidir sin cambios):</t>
        </is>
      </c>
      <c r="B37" s="11" t="n">
        <v>1562249374</v>
      </c>
      <c r="C37" s="11" t="n">
        <v>2300133658</v>
      </c>
      <c r="D37" s="11" t="n">
        <v>3450062579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6" customWidth="1" min="2" max="2"/>
    <col width="8" customWidth="1" min="3" max="3"/>
    <col width="10" customWidth="1" min="4" max="4"/>
    <col width="13" customWidth="1" min="5" max="5"/>
    <col width="13" customWidth="1" min="6" max="6"/>
    <col width="13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14" customWidth="1" min="14" max="14"/>
    <col width="14" customWidth="1" min="15" max="15"/>
    <col width="14" customWidth="1" min="16" max="16"/>
    <col width="60" customWidth="1" min="17" max="17"/>
    <col width="60" customWidth="1" min="18" max="18"/>
  </cols>
  <sheetData>
    <row r="1">
      <c r="A1" s="12" t="inlineStr">
        <is>
          <t>Presupuesto de obra de Casa Brisa · costo directo por partida (COP, octubre de 2026)</t>
        </is>
      </c>
    </row>
    <row r="2">
      <c r="A2" t="inlineStr">
        <is>
          <t>Celdas amarillas: cantidades y precios unitarios editables. Totales y mano de obra se calculan.</t>
        </is>
      </c>
    </row>
    <row r="4">
      <c r="A4" s="13" t="inlineStr">
        <is>
          <t>Capítulo</t>
        </is>
      </c>
      <c r="B4" s="13" t="inlineStr">
        <is>
          <t>Partida</t>
        </is>
      </c>
      <c r="C4" s="13" t="inlineStr">
        <is>
          <t>Unidad</t>
        </is>
      </c>
      <c r="D4" s="13" t="inlineStr">
        <is>
          <t>Cantidad</t>
        </is>
      </c>
      <c r="E4" s="13" t="inlineStr">
        <is>
          <t>PU bajo</t>
        </is>
      </c>
      <c r="F4" s="13" t="inlineStr">
        <is>
          <t>PU medio</t>
        </is>
      </c>
      <c r="G4" s="13" t="inlineStr">
        <is>
          <t>PU alto</t>
        </is>
      </c>
      <c r="H4" s="13" t="inlineStr">
        <is>
          <t>% MO bajo</t>
        </is>
      </c>
      <c r="I4" s="13" t="inlineStr">
        <is>
          <t>% MO medio</t>
        </is>
      </c>
      <c r="J4" s="13" t="inlineStr">
        <is>
          <t>% MO alto</t>
        </is>
      </c>
      <c r="K4" s="13" t="inlineStr">
        <is>
          <t>Total bajo</t>
        </is>
      </c>
      <c r="L4" s="13" t="inlineStr">
        <is>
          <t>Total medio</t>
        </is>
      </c>
      <c r="M4" s="13" t="inlineStr">
        <is>
          <t>Total alto</t>
        </is>
      </c>
      <c r="N4" s="13" t="inlineStr">
        <is>
          <t>MO bajo</t>
        </is>
      </c>
      <c r="O4" s="13" t="inlineStr">
        <is>
          <t>MO medio</t>
        </is>
      </c>
      <c r="P4" s="13" t="inlineStr">
        <is>
          <t>MO alto</t>
        </is>
      </c>
      <c r="Q4" s="13" t="inlineStr">
        <is>
          <t>Base del precio</t>
        </is>
      </c>
      <c r="R4" s="13" t="inlineStr">
        <is>
          <t>Medición</t>
        </is>
      </c>
    </row>
    <row r="5">
      <c r="A5" t="inlineStr">
        <is>
          <t>Preliminares y obra provisional</t>
        </is>
      </c>
      <c r="B5" t="inlineStr">
        <is>
          <t>Cerramiento provisional del lote</t>
        </is>
      </c>
      <c r="C5" t="inlineStr">
        <is>
          <t>ml</t>
        </is>
      </c>
      <c r="D5" s="3" t="n">
        <v>101.4</v>
      </c>
      <c r="E5" s="4" t="n">
        <v>38265</v>
      </c>
      <c r="F5" s="4" t="n">
        <v>51434</v>
      </c>
      <c r="G5" s="4" t="n">
        <v>72740</v>
      </c>
      <c r="H5" s="9" t="n">
        <v>0.5296</v>
      </c>
      <c r="I5" s="9" t="n">
        <v>0.4945</v>
      </c>
      <c r="J5" s="9" t="n">
        <v>0.4776</v>
      </c>
      <c r="K5" s="6">
        <f>ROUND(D5*E5,0)</f>
        <v/>
      </c>
      <c r="L5" s="6">
        <f>ROUND(D5*F5,0)</f>
        <v/>
      </c>
      <c r="M5" s="6">
        <f>ROUND(D5*G5,0)</f>
        <v/>
      </c>
      <c r="N5" s="6">
        <f>ROUND(K5*H5,0)</f>
        <v/>
      </c>
      <c r="O5" s="6">
        <f>ROUND(L5*I5,0)</f>
        <v/>
      </c>
      <c r="P5" s="6">
        <f>ROUND(M5*J5,0)</f>
        <v/>
      </c>
      <c r="Q5" t="inlineStr">
        <is>
          <t>supuesto de material + 0,1 jornal de cuadrilla por ml (L3, L4, L5)</t>
        </is>
      </c>
      <c r="R5" t="inlineStr">
        <is>
          <t>perímetro del lote 24,4 × 26,3 m</t>
        </is>
      </c>
    </row>
    <row r="6">
      <c r="A6" t="inlineStr">
        <is>
          <t>Preliminares y obra provisional</t>
        </is>
      </c>
      <c r="B6" t="inlineStr">
        <is>
          <t>Campamento, bodega y baño de obra</t>
        </is>
      </c>
      <c r="C6" t="inlineStr">
        <is>
          <t>mes</t>
        </is>
      </c>
      <c r="D6" s="3" t="n">
        <v>12</v>
      </c>
      <c r="E6" s="4" t="n">
        <v>1100000</v>
      </c>
      <c r="F6" s="4" t="n">
        <v>1500000</v>
      </c>
      <c r="G6" s="4" t="n">
        <v>2100000</v>
      </c>
      <c r="H6" s="9" t="n">
        <v>0.1</v>
      </c>
      <c r="I6" s="9" t="n">
        <v>0.1</v>
      </c>
      <c r="J6" s="9" t="n">
        <v>0.1</v>
      </c>
      <c r="K6" s="6">
        <f>ROUND(D6*E6,0)</f>
        <v/>
      </c>
      <c r="L6" s="6">
        <f>ROUND(D6*F6,0)</f>
        <v/>
      </c>
      <c r="M6" s="6">
        <f>ROUND(D6*G6,0)</f>
        <v/>
      </c>
      <c r="N6" s="6">
        <f>ROUND(K6*H6,0)</f>
        <v/>
      </c>
      <c r="O6" s="6">
        <f>ROUND(L6*I6,0)</f>
        <v/>
      </c>
      <c r="P6" s="6">
        <f>ROUND(M6*J6,0)</f>
        <v/>
      </c>
      <c r="Q6" t="inlineStr">
        <is>
          <t>supuesto de alquiler mensual</t>
        </is>
      </c>
      <c r="R6" t="inlineStr">
        <is>
          <t>duración de obra física del cronograma</t>
        </is>
      </c>
    </row>
    <row r="7">
      <c r="A7" t="inlineStr">
        <is>
          <t>Preliminares y obra provisional</t>
        </is>
      </c>
      <c r="B7" t="inlineStr">
        <is>
          <t>Servicios provisionales de agua y energía</t>
        </is>
      </c>
      <c r="C7" t="inlineStr">
        <is>
          <t>mes</t>
        </is>
      </c>
      <c r="D7" s="3" t="n">
        <v>12</v>
      </c>
      <c r="E7" s="4" t="n">
        <v>550000</v>
      </c>
      <c r="F7" s="4" t="n">
        <v>850000</v>
      </c>
      <c r="G7" s="4" t="n">
        <v>1250000</v>
      </c>
      <c r="H7" s="9" t="n">
        <v>0</v>
      </c>
      <c r="I7" s="9" t="n">
        <v>0</v>
      </c>
      <c r="J7" s="9" t="n">
        <v>0</v>
      </c>
      <c r="K7" s="6">
        <f>ROUND(D7*E7,0)</f>
        <v/>
      </c>
      <c r="L7" s="6">
        <f>ROUND(D7*F7,0)</f>
        <v/>
      </c>
      <c r="M7" s="6">
        <f>ROUND(D7*G7,0)</f>
        <v/>
      </c>
      <c r="N7" s="6">
        <f>ROUND(K7*H7,0)</f>
        <v/>
      </c>
      <c r="O7" s="6">
        <f>ROUND(L7*I7,0)</f>
        <v/>
      </c>
      <c r="P7" s="6">
        <f>ROUND(M7*J7,0)</f>
        <v/>
      </c>
      <c r="Q7" t="inlineStr">
        <is>
          <t>supuesto de consumo mensual</t>
        </is>
      </c>
      <c r="R7" t="inlineStr">
        <is>
          <t>duración de obra física del cronograma</t>
        </is>
      </c>
    </row>
    <row r="8">
      <c r="A8" t="inlineStr">
        <is>
          <t>Preliminares y obra provisional</t>
        </is>
      </c>
      <c r="B8" t="inlineStr">
        <is>
          <t>Vigilancia nocturna</t>
        </is>
      </c>
      <c r="C8" t="inlineStr">
        <is>
          <t>mes</t>
        </is>
      </c>
      <c r="D8" s="3" t="n">
        <v>12</v>
      </c>
      <c r="E8" s="4" t="n">
        <v>2875452</v>
      </c>
      <c r="F8" s="4" t="n">
        <v>3085561</v>
      </c>
      <c r="G8" s="4" t="n">
        <v>3400724</v>
      </c>
      <c r="H8" s="9" t="n">
        <v>1</v>
      </c>
      <c r="I8" s="9" t="n">
        <v>1</v>
      </c>
      <c r="J8" s="9" t="n">
        <v>1</v>
      </c>
      <c r="K8" s="6">
        <f>ROUND(D8*E8,0)</f>
        <v/>
      </c>
      <c r="L8" s="6">
        <f>ROUND(D8*F8,0)</f>
        <v/>
      </c>
      <c r="M8" s="6">
        <f>ROUND(D8*G8,0)</f>
        <v/>
      </c>
      <c r="N8" s="6">
        <f>ROUND(K8*H8,0)</f>
        <v/>
      </c>
      <c r="O8" s="6">
        <f>ROUND(L8*I8,0)</f>
        <v/>
      </c>
      <c r="P8" s="6">
        <f>ROUND(M8*J8,0)</f>
        <v/>
      </c>
      <c r="Q8" t="inlineStr">
        <is>
          <t>un vigilante con salario mínimo 2026 y factor prestacional (L1, L2, L5)</t>
        </is>
      </c>
      <c r="R8" t="inlineStr">
        <is>
          <t>duración de obra física del cronograma</t>
        </is>
      </c>
    </row>
    <row r="9">
      <c r="A9" t="inlineStr">
        <is>
          <t>Preliminares y obra provisional</t>
        </is>
      </c>
      <c r="B9" t="inlineStr">
        <is>
          <t>Localización, replanteo y control topográfico</t>
        </is>
      </c>
      <c r="C9" t="inlineStr">
        <is>
          <t>m²</t>
        </is>
      </c>
      <c r="D9" s="3" t="n">
        <v>251.44</v>
      </c>
      <c r="E9" s="4" t="n">
        <v>2864</v>
      </c>
      <c r="F9" s="4" t="n">
        <v>4295</v>
      </c>
      <c r="G9" s="4" t="n">
        <v>6682</v>
      </c>
      <c r="H9" s="9" t="n">
        <v>0.8</v>
      </c>
      <c r="I9" s="9" t="n">
        <v>0.8</v>
      </c>
      <c r="J9" s="9" t="n">
        <v>0.8</v>
      </c>
      <c r="K9" s="6">
        <f>ROUND(D9*E9,0)</f>
        <v/>
      </c>
      <c r="L9" s="6">
        <f>ROUND(D9*F9,0)</f>
        <v/>
      </c>
      <c r="M9" s="6">
        <f>ROUND(D9*G9,0)</f>
        <v/>
      </c>
      <c r="N9" s="6">
        <f>ROUND(K9*H9,0)</f>
        <v/>
      </c>
      <c r="O9" s="6">
        <f>ROUND(L9*I9,0)</f>
        <v/>
      </c>
      <c r="P9" s="6">
        <f>ROUND(M9*J9,0)</f>
        <v/>
      </c>
      <c r="Q9" t="inlineStr">
        <is>
          <t>60 % de un levantamiento topográfico (S7) repartido por m²</t>
        </is>
      </c>
      <c r="R9" t="inlineStr">
        <is>
          <t>PB 159.8 + PA 91.64</t>
        </is>
      </c>
    </row>
    <row r="10">
      <c r="A10" t="inlineStr">
        <is>
          <t>Movimiento de tierras y cimentación</t>
        </is>
      </c>
      <c r="B10" t="inlineStr">
        <is>
          <t>Excavación mecánica</t>
        </is>
      </c>
      <c r="C10" t="inlineStr">
        <is>
          <t>m³</t>
        </is>
      </c>
      <c r="D10" s="3" t="n">
        <v>334.67</v>
      </c>
      <c r="E10" s="4" t="n">
        <v>15000</v>
      </c>
      <c r="F10" s="4" t="n">
        <v>26000</v>
      </c>
      <c r="G10" s="4" t="n">
        <v>38000</v>
      </c>
      <c r="H10" s="9" t="n">
        <v>0.15</v>
      </c>
      <c r="I10" s="9" t="n">
        <v>0.15</v>
      </c>
      <c r="J10" s="9" t="n">
        <v>0.15</v>
      </c>
      <c r="K10" s="6">
        <f>ROUND(D10*E10,0)</f>
        <v/>
      </c>
      <c r="L10" s="6">
        <f>ROUND(D10*F10,0)</f>
        <v/>
      </c>
      <c r="M10" s="6">
        <f>ROUND(D10*G10,0)</f>
        <v/>
      </c>
      <c r="N10" s="6">
        <f>ROUND(K10*H10,0)</f>
        <v/>
      </c>
      <c r="O10" s="6">
        <f>ROUND(L10*I10,0)</f>
        <v/>
      </c>
      <c r="P10" s="6">
        <f>ROUND(M10*J10,0)</f>
        <v/>
      </c>
      <c r="Q10" t="inlineStr">
        <is>
          <t>G9 (sin retiro)</t>
        </is>
      </c>
      <c r="R10" t="inlineStr">
        <is>
          <t>mejoramiento 0,6 m bajo huella+10 m² + 26 zapatas 1,6×1,6×0,9 + vaso de piscina y canal + zanja del muro de contención</t>
        </is>
      </c>
    </row>
    <row r="11">
      <c r="A11" t="inlineStr">
        <is>
          <t>Movimiento de tierras y cimentación</t>
        </is>
      </c>
      <c r="B11" t="inlineStr">
        <is>
          <t>Retiro de sobrantes a botadero (80 % de lo excavado, con 25 % de esponjamiento)</t>
        </is>
      </c>
      <c r="C11" t="inlineStr">
        <is>
          <t>m³</t>
        </is>
      </c>
      <c r="D11" s="3" t="n">
        <v>334.7</v>
      </c>
      <c r="E11" s="4" t="n">
        <v>28000</v>
      </c>
      <c r="F11" s="4" t="n">
        <v>38000</v>
      </c>
      <c r="G11" s="4" t="n">
        <v>55000</v>
      </c>
      <c r="H11" s="9" t="n">
        <v>0.2</v>
      </c>
      <c r="I11" s="9" t="n">
        <v>0.2</v>
      </c>
      <c r="J11" s="9" t="n">
        <v>0.2</v>
      </c>
      <c r="K11" s="6">
        <f>ROUND(D11*E11,0)</f>
        <v/>
      </c>
      <c r="L11" s="6">
        <f>ROUND(D11*F11,0)</f>
        <v/>
      </c>
      <c r="M11" s="6">
        <f>ROUND(D11*G11,0)</f>
        <v/>
      </c>
      <c r="N11" s="6">
        <f>ROUND(K11*H11,0)</f>
        <v/>
      </c>
      <c r="O11" s="6">
        <f>ROUND(L11*I11,0)</f>
        <v/>
      </c>
      <c r="P11" s="6">
        <f>ROUND(M11*J11,0)</f>
        <v/>
      </c>
      <c r="Q11" t="inlineStr">
        <is>
          <t>supuesto</t>
        </is>
      </c>
      <c r="R11" t="inlineStr"/>
    </row>
    <row r="12">
      <c r="A12" t="inlineStr">
        <is>
          <t>Movimiento de tierras y cimentación</t>
        </is>
      </c>
      <c r="B12" t="inlineStr">
        <is>
          <t>Relleno con material seleccionado compactado (mejoramiento de suelo expansivo)</t>
        </is>
      </c>
      <c r="C12" t="inlineStr">
        <is>
          <t>m³</t>
        </is>
      </c>
      <c r="D12" s="3" t="n">
        <v>101.88</v>
      </c>
      <c r="E12" s="4" t="n">
        <v>80000</v>
      </c>
      <c r="F12" s="4" t="n">
        <v>115000</v>
      </c>
      <c r="G12" s="4" t="n">
        <v>150000</v>
      </c>
      <c r="H12" s="9" t="n">
        <v>0.25</v>
      </c>
      <c r="I12" s="9" t="n">
        <v>0.25</v>
      </c>
      <c r="J12" s="9" t="n">
        <v>0.25</v>
      </c>
      <c r="K12" s="6">
        <f>ROUND(D12*E12,0)</f>
        <v/>
      </c>
      <c r="L12" s="6">
        <f>ROUND(D12*F12,0)</f>
        <v/>
      </c>
      <c r="M12" s="6">
        <f>ROUND(D12*G12,0)</f>
        <v/>
      </c>
      <c r="N12" s="6">
        <f>ROUND(K12*H12,0)</f>
        <v/>
      </c>
      <c r="O12" s="6">
        <f>ROUND(L12*I12,0)</f>
        <v/>
      </c>
      <c r="P12" s="6">
        <f>ROUND(M12*J12,0)</f>
        <v/>
      </c>
      <c r="Q12" t="inlineStr">
        <is>
          <t>G10</t>
        </is>
      </c>
      <c r="R12" t="inlineStr">
        <is>
          <t>reemplazo de 0,6 m de arcilla expansiva por material granular compactado</t>
        </is>
      </c>
    </row>
    <row r="13">
      <c r="A13" t="inlineStr">
        <is>
          <t>Movimiento de tierras y cimentación</t>
        </is>
      </c>
      <c r="B13" t="inlineStr">
        <is>
          <t>Zapatas y vigas de cimentación, concreto 28 MPa con acero</t>
        </is>
      </c>
      <c r="C13" t="inlineStr">
        <is>
          <t>m³</t>
        </is>
      </c>
      <c r="D13" s="3" t="n">
        <v>34.56</v>
      </c>
      <c r="E13" s="4" t="n">
        <v>1166200</v>
      </c>
      <c r="F13" s="4" t="n">
        <v>1414200</v>
      </c>
      <c r="G13" s="4" t="n">
        <v>1778800</v>
      </c>
      <c r="H13" s="9" t="n">
        <v>0.2023</v>
      </c>
      <c r="I13" s="9" t="n">
        <v>0.2348</v>
      </c>
      <c r="J13" s="9" t="n">
        <v>0.2683</v>
      </c>
      <c r="K13" s="6">
        <f>ROUND(D13*E13,0)</f>
        <v/>
      </c>
      <c r="L13" s="6">
        <f>ROUND(D13*F13,0)</f>
        <v/>
      </c>
      <c r="M13" s="6">
        <f>ROUND(D13*G13,0)</f>
        <v/>
      </c>
      <c r="N13" s="6">
        <f>ROUND(K13*H13,0)</f>
        <v/>
      </c>
      <c r="O13" s="6">
        <f>ROUND(L13*I13,0)</f>
        <v/>
      </c>
      <c r="P13" s="6">
        <f>ROUND(M13*J13,0)</f>
        <v/>
      </c>
      <c r="Q13" t="inlineStr">
        <is>
          <t>concreto G2 + vaciado L14 + 90 kg/m³ de acero instalado G3 + 4,4 m² de formaleta por m³</t>
        </is>
      </c>
      <c r="R13" t="inlineStr">
        <is>
          <t>26 zapatas 1,4×1,4×0,4 + 105 ml de vigas de cimentación 0,30×0,45</t>
        </is>
      </c>
    </row>
    <row r="14">
      <c r="A14" t="inlineStr">
        <is>
          <t>Movimiento de tierras y cimentación</t>
        </is>
      </c>
      <c r="B14" t="inlineStr">
        <is>
          <t>Placa de contrapiso de 10 cm con malla</t>
        </is>
      </c>
      <c r="C14" t="inlineStr">
        <is>
          <t>m²</t>
        </is>
      </c>
      <c r="D14" s="3" t="n">
        <v>159.8</v>
      </c>
      <c r="E14" s="4" t="n">
        <v>78821</v>
      </c>
      <c r="F14" s="4" t="n">
        <v>95434</v>
      </c>
      <c r="G14" s="4" t="n">
        <v>119296</v>
      </c>
      <c r="H14" s="9" t="n">
        <v>0.2156</v>
      </c>
      <c r="I14" s="9" t="n">
        <v>0.2584</v>
      </c>
      <c r="J14" s="9" t="n">
        <v>0.311</v>
      </c>
      <c r="K14" s="6">
        <f>ROUND(D14*E14,0)</f>
        <v/>
      </c>
      <c r="L14" s="6">
        <f>ROUND(D14*F14,0)</f>
        <v/>
      </c>
      <c r="M14" s="6">
        <f>ROUND(D14*G14,0)</f>
        <v/>
      </c>
      <c r="N14" s="6">
        <f>ROUND(K14*H14,0)</f>
        <v/>
      </c>
      <c r="O14" s="6">
        <f>ROUND(L14*I14,0)</f>
        <v/>
      </c>
      <c r="P14" s="6">
        <f>ROUND(M14*J14,0)</f>
        <v/>
      </c>
      <c r="Q14" t="inlineStr">
        <is>
          <t>0,105 m³ de concreto G1 + 3,2 kg de malla instalada (G3) + afinado</t>
        </is>
      </c>
      <c r="R14" t="inlineStr">
        <is>
          <t>placa de 10 cm con malla electrosoldada bajo toda la planta baja</t>
        </is>
      </c>
    </row>
    <row r="15">
      <c r="A15" t="inlineStr">
        <is>
          <t>Estructura en concreto</t>
        </is>
      </c>
      <c r="B15" t="inlineStr">
        <is>
          <t>Columnas en concreto 28 MPa</t>
        </is>
      </c>
      <c r="C15" t="inlineStr">
        <is>
          <t>m³</t>
        </is>
      </c>
      <c r="D15" s="3" t="n">
        <v>18.89</v>
      </c>
      <c r="E15" s="4" t="n">
        <v>1726200</v>
      </c>
      <c r="F15" s="4" t="n">
        <v>2121200</v>
      </c>
      <c r="G15" s="4" t="n">
        <v>2702800</v>
      </c>
      <c r="H15" s="9" t="n">
        <v>0.2575</v>
      </c>
      <c r="I15" s="9" t="n">
        <v>0.2838</v>
      </c>
      <c r="J15" s="9" t="n">
        <v>0.3092</v>
      </c>
      <c r="K15" s="6">
        <f>ROUND(D15*E15,0)</f>
        <v/>
      </c>
      <c r="L15" s="6">
        <f>ROUND(D15*F15,0)</f>
        <v/>
      </c>
      <c r="M15" s="6">
        <f>ROUND(D15*G15,0)</f>
        <v/>
      </c>
      <c r="N15" s="6">
        <f>ROUND(K15*H15,0)</f>
        <v/>
      </c>
      <c r="O15" s="6">
        <f>ROUND(L15*I15,0)</f>
        <v/>
      </c>
      <c r="P15" s="6">
        <f>ROUND(M15*J15,0)</f>
        <v/>
      </c>
      <c r="Q15" t="inlineStr">
        <is>
          <t>G2 + L14 + 160 kg/m³ de acero instalado (G3) + 11,4 m² de formaleta por m³</t>
        </is>
      </c>
      <c r="R15" t="inlineStr">
        <is>
          <t>26 columnas de 0,35×0,35 en PB, 20 en PA y 4 prolongadas en la doble altura</t>
        </is>
      </c>
    </row>
    <row r="16">
      <c r="A16" t="inlineStr">
        <is>
          <t>Estructura en concreto</t>
        </is>
      </c>
      <c r="B16" t="inlineStr">
        <is>
          <t>Losa de entrepiso de 30 cm con vigas, voladizos y balcones</t>
        </is>
      </c>
      <c r="C16" t="inlineStr">
        <is>
          <t>m²</t>
        </is>
      </c>
      <c r="D16" s="3" t="n">
        <v>168.44</v>
      </c>
      <c r="E16" s="4" t="n">
        <v>300000</v>
      </c>
      <c r="F16" s="4" t="n">
        <v>390000</v>
      </c>
      <c r="G16" s="4" t="n">
        <v>520000</v>
      </c>
      <c r="H16" s="9" t="n">
        <v>0.25</v>
      </c>
      <c r="I16" s="9" t="n">
        <v>0.25</v>
      </c>
      <c r="J16" s="9" t="n">
        <v>0.25</v>
      </c>
      <c r="K16" s="6">
        <f>ROUND(D16*E16,0)</f>
        <v/>
      </c>
      <c r="L16" s="6">
        <f>ROUND(D16*F16,0)</f>
        <v/>
      </c>
      <c r="M16" s="6">
        <f>ROUND(D16*G16,0)</f>
        <v/>
      </c>
      <c r="N16" s="6">
        <f>ROUND(K16*H16,0)</f>
        <v/>
      </c>
      <c r="O16" s="6">
        <f>ROUND(L16*I16,0)</f>
        <v/>
      </c>
      <c r="P16" s="6">
        <f>ROUND(M16*J16,0)</f>
        <v/>
      </c>
      <c r="Q16" t="inlineStr">
        <is>
          <t>G7</t>
        </is>
      </c>
      <c r="R16" t="inlineStr">
        <is>
          <t>losa sobre PB con alero sur de 1,2 m, losas de habitaciones 2 y 3, balcones norte en voladizo y techo de la ampliación</t>
        </is>
      </c>
    </row>
    <row r="17">
      <c r="A17" t="inlineStr">
        <is>
          <t>Estructura en concreto</t>
        </is>
      </c>
      <c r="B17" t="inlineStr">
        <is>
          <t>Losa de cubierta con pórtico norte y aleros</t>
        </is>
      </c>
      <c r="C17" t="inlineStr">
        <is>
          <t>m²</t>
        </is>
      </c>
      <c r="D17" s="3" t="n">
        <v>148.88</v>
      </c>
      <c r="E17" s="4" t="n">
        <v>300000</v>
      </c>
      <c r="F17" s="4" t="n">
        <v>390000</v>
      </c>
      <c r="G17" s="4" t="n">
        <v>520000</v>
      </c>
      <c r="H17" s="9" t="n">
        <v>0.25</v>
      </c>
      <c r="I17" s="9" t="n">
        <v>0.25</v>
      </c>
      <c r="J17" s="9" t="n">
        <v>0.25</v>
      </c>
      <c r="K17" s="6">
        <f>ROUND(D17*E17,0)</f>
        <v/>
      </c>
      <c r="L17" s="6">
        <f>ROUND(D17*F17,0)</f>
        <v/>
      </c>
      <c r="M17" s="6">
        <f>ROUND(D17*G17,0)</f>
        <v/>
      </c>
      <c r="N17" s="6">
        <f>ROUND(K17*H17,0)</f>
        <v/>
      </c>
      <c r="O17" s="6">
        <f>ROUND(L17*I17,0)</f>
        <v/>
      </c>
      <c r="P17" s="6">
        <f>ROUND(M17*J17,0)</f>
        <v/>
      </c>
      <c r="Q17" t="inlineStr">
        <is>
          <t>G7</t>
        </is>
      </c>
      <c r="R17" t="inlineStr">
        <is>
          <t>cubierta en L: 3,2×6,7 + 11,8×10,8 (con pórtico norte y alero sur)</t>
        </is>
      </c>
    </row>
    <row r="18">
      <c r="A18" t="inlineStr">
        <is>
          <t>Estructura en concreto</t>
        </is>
      </c>
      <c r="B18" t="inlineStr">
        <is>
          <t>Escalera en U: tramo macizo, descanso y espina de concreto</t>
        </is>
      </c>
      <c r="C18" t="inlineStr">
        <is>
          <t>m³</t>
        </is>
      </c>
      <c r="D18" s="3" t="n">
        <v>3.5</v>
      </c>
      <c r="E18" s="4" t="n">
        <v>1343000</v>
      </c>
      <c r="F18" s="4" t="n">
        <v>1639000</v>
      </c>
      <c r="G18" s="4" t="n">
        <v>2074000</v>
      </c>
      <c r="H18" s="9" t="n">
        <v>0.2276</v>
      </c>
      <c r="I18" s="9" t="n">
        <v>0.258</v>
      </c>
      <c r="J18" s="9" t="n">
        <v>0.2885</v>
      </c>
      <c r="K18" s="6">
        <f>ROUND(D18*E18,0)</f>
        <v/>
      </c>
      <c r="L18" s="6">
        <f>ROUND(D18*F18,0)</f>
        <v/>
      </c>
      <c r="M18" s="6">
        <f>ROUND(D18*G18,0)</f>
        <v/>
      </c>
      <c r="N18" s="6">
        <f>ROUND(K18*H18,0)</f>
        <v/>
      </c>
      <c r="O18" s="6">
        <f>ROUND(L18*I18,0)</f>
        <v/>
      </c>
      <c r="P18" s="6">
        <f>ROUND(M18*J18,0)</f>
        <v/>
      </c>
      <c r="Q18" t="inlineStr">
        <is>
          <t>3,5 m³ con 110 kg/m³ de acero y 7 m² de formaleta por m³</t>
        </is>
      </c>
      <c r="R18" t="inlineStr"/>
    </row>
    <row r="19">
      <c r="A19" t="inlineStr">
        <is>
          <t>Estructura en concreto</t>
        </is>
      </c>
      <c r="B19" t="inlineStr">
        <is>
          <t>Muro de contención de 3 m bajo el borde infinito</t>
        </is>
      </c>
      <c r="C19" t="inlineStr">
        <is>
          <t>m³</t>
        </is>
      </c>
      <c r="D19" s="3" t="n">
        <v>39.6</v>
      </c>
      <c r="E19" s="4" t="n">
        <v>1204600</v>
      </c>
      <c r="F19" s="4" t="n">
        <v>1472600</v>
      </c>
      <c r="G19" s="4" t="n">
        <v>1858400</v>
      </c>
      <c r="H19" s="9" t="n">
        <v>0.2146</v>
      </c>
      <c r="I19" s="9" t="n">
        <v>0.2438</v>
      </c>
      <c r="J19" s="9" t="n">
        <v>0.275</v>
      </c>
      <c r="K19" s="6">
        <f>ROUND(D19*E19,0)</f>
        <v/>
      </c>
      <c r="L19" s="6">
        <f>ROUND(D19*F19,0)</f>
        <v/>
      </c>
      <c r="M19" s="6">
        <f>ROUND(D19*G19,0)</f>
        <v/>
      </c>
      <c r="N19" s="6">
        <f>ROUND(K19*H19,0)</f>
        <v/>
      </c>
      <c r="O19" s="6">
        <f>ROUND(L19*I19,0)</f>
        <v/>
      </c>
      <c r="P19" s="6">
        <f>ROUND(M19*J19,0)</f>
        <v/>
      </c>
      <c r="Q19" t="inlineStr">
        <is>
          <t>73 m² de muro de 30 cm + zapata de 24,4 × 1,8 × 0,4 m = 39,6 m³ de concreto G1 con 110 kg/m³ de acero</t>
        </is>
      </c>
      <c r="R19" t="inlineStr"/>
    </row>
    <row r="20">
      <c r="A20" t="inlineStr">
        <is>
          <t>Estructura en concreto</t>
        </is>
      </c>
      <c r="B20" t="inlineStr">
        <is>
          <t>Sobrecosto de concreto a la vista con formaleta de tabla</t>
        </is>
      </c>
      <c r="C20" t="inlineStr">
        <is>
          <t>m²</t>
        </is>
      </c>
      <c r="D20" s="3" t="n">
        <v>25.6</v>
      </c>
      <c r="E20" s="4" t="n">
        <v>70000</v>
      </c>
      <c r="F20" s="4" t="n">
        <v>120000</v>
      </c>
      <c r="G20" s="4" t="n">
        <v>200000</v>
      </c>
      <c r="H20" s="9" t="n">
        <v>0.5</v>
      </c>
      <c r="I20" s="9" t="n">
        <v>0.5</v>
      </c>
      <c r="J20" s="9" t="n">
        <v>0.5</v>
      </c>
      <c r="K20" s="6">
        <f>ROUND(D20*E20,0)</f>
        <v/>
      </c>
      <c r="L20" s="6">
        <f>ROUND(D20*F20,0)</f>
        <v/>
      </c>
      <c r="M20" s="6">
        <f>ROUND(D20*G20,0)</f>
        <v/>
      </c>
      <c r="N20" s="6">
        <f>ROUND(K20*H20,0)</f>
        <v/>
      </c>
      <c r="O20" s="6">
        <f>ROUND(L20*I20,0)</f>
        <v/>
      </c>
      <c r="P20" s="6">
        <f>ROUND(M20*J20,0)</f>
        <v/>
      </c>
      <c r="Q20" t="inlineStr">
        <is>
          <t>G13</t>
        </is>
      </c>
      <c r="R20" t="inlineStr">
        <is>
          <t>cantos de losa vistos (52 ml × 0,3 m) + espina de la escalera</t>
        </is>
      </c>
    </row>
    <row r="21">
      <c r="A21" t="inlineStr">
        <is>
          <t>Mampostería</t>
        </is>
      </c>
      <c r="B21" t="inlineStr">
        <is>
          <t>Muros en bloque con mortero, dovelas y vigas de amarre</t>
        </is>
      </c>
      <c r="C21" t="inlineStr">
        <is>
          <t>m²</t>
        </is>
      </c>
      <c r="D21" s="3" t="n">
        <v>342.78</v>
      </c>
      <c r="E21" s="4" t="n">
        <v>54981</v>
      </c>
      <c r="F21" s="4" t="n">
        <v>81833</v>
      </c>
      <c r="G21" s="4" t="n">
        <v>113725</v>
      </c>
      <c r="H21" s="9" t="n">
        <v>0.3056</v>
      </c>
      <c r="I21" s="9" t="n">
        <v>0.3148</v>
      </c>
      <c r="J21" s="9" t="n">
        <v>0.2955</v>
      </c>
      <c r="K21" s="6">
        <f>ROUND(D21*E21,0)</f>
        <v/>
      </c>
      <c r="L21" s="6">
        <f>ROUND(D21*F21,0)</f>
        <v/>
      </c>
      <c r="M21" s="6">
        <f>ROUND(D21*G21,0)</f>
        <v/>
      </c>
      <c r="N21" s="6">
        <f>ROUND(K21*H21,0)</f>
        <v/>
      </c>
      <c r="O21" s="6">
        <f>ROUND(L21*I21,0)</f>
        <v/>
      </c>
      <c r="P21" s="6">
        <f>ROUND(M21*J21,0)</f>
        <v/>
      </c>
      <c r="Q21" t="inlineStr">
        <is>
          <t>bloque G4 + 0,02 m³ de mortero (G5, G6) + mano de obra L10, +12 % por refuerzo y amarres</t>
        </is>
      </c>
      <c r="R21" t="inlineStr">
        <is>
          <t>muros exteriores PB 87 + interiores PB 90 + exteriores PA 52 + interiores PA 93 + antepechos de cubierta 21 (vanos descontados)</t>
        </is>
      </c>
    </row>
    <row r="22">
      <c r="A22" t="inlineStr">
        <is>
          <t>Pañetes, estucos y pinturas</t>
        </is>
      </c>
      <c r="B22" t="inlineStr">
        <is>
          <t>Pañete de muros</t>
        </is>
      </c>
      <c r="C22" t="inlineStr">
        <is>
          <t>m²</t>
        </is>
      </c>
      <c r="D22" s="3" t="n">
        <v>673.5599999999999</v>
      </c>
      <c r="E22" s="4" t="n">
        <v>27000</v>
      </c>
      <c r="F22" s="4" t="n">
        <v>36500</v>
      </c>
      <c r="G22" s="4" t="n">
        <v>46000</v>
      </c>
      <c r="H22" s="9" t="n">
        <v>0.45</v>
      </c>
      <c r="I22" s="9" t="n">
        <v>0.45</v>
      </c>
      <c r="J22" s="9" t="n">
        <v>0.45</v>
      </c>
      <c r="K22" s="6">
        <f>ROUND(D22*E22,0)</f>
        <v/>
      </c>
      <c r="L22" s="6">
        <f>ROUND(D22*F22,0)</f>
        <v/>
      </c>
      <c r="M22" s="6">
        <f>ROUND(D22*G22,0)</f>
        <v/>
      </c>
      <c r="N22" s="6">
        <f>ROUND(K22*H22,0)</f>
        <v/>
      </c>
      <c r="O22" s="6">
        <f>ROUND(L22*I22,0)</f>
        <v/>
      </c>
      <c r="P22" s="6">
        <f>ROUND(M22*J22,0)</f>
        <v/>
      </c>
      <c r="Q22" t="inlineStr">
        <is>
          <t>F11</t>
        </is>
      </c>
      <c r="R22" t="inlineStr">
        <is>
          <t>ambas caras de todos los muros + antepechos</t>
        </is>
      </c>
    </row>
    <row r="23">
      <c r="A23" t="inlineStr">
        <is>
          <t>Pañetes, estucos y pinturas</t>
        </is>
      </c>
      <c r="B23" t="inlineStr">
        <is>
          <t>Estuco y pintura interior</t>
        </is>
      </c>
      <c r="C23" t="inlineStr">
        <is>
          <t>m²</t>
        </is>
      </c>
      <c r="D23" s="3" t="n">
        <v>422.78</v>
      </c>
      <c r="E23" s="4" t="n">
        <v>22000</v>
      </c>
      <c r="F23" s="4" t="n">
        <v>28000</v>
      </c>
      <c r="G23" s="4" t="n">
        <v>38000</v>
      </c>
      <c r="H23" s="9" t="n">
        <v>0.55</v>
      </c>
      <c r="I23" s="9" t="n">
        <v>0.55</v>
      </c>
      <c r="J23" s="9" t="n">
        <v>0.55</v>
      </c>
      <c r="K23" s="6">
        <f>ROUND(D23*E23,0)</f>
        <v/>
      </c>
      <c r="L23" s="6">
        <f>ROUND(D23*F23,0)</f>
        <v/>
      </c>
      <c r="M23" s="6">
        <f>ROUND(D23*G23,0)</f>
        <v/>
      </c>
      <c r="N23" s="6">
        <f>ROUND(K23*H23,0)</f>
        <v/>
      </c>
      <c r="O23" s="6">
        <f>ROUND(L23*I23,0)</f>
        <v/>
      </c>
      <c r="P23" s="6">
        <f>ROUND(M23*J23,0)</f>
        <v/>
      </c>
      <c r="Q23" t="inlineStr">
        <is>
          <t>F5</t>
        </is>
      </c>
      <c r="R23" t="inlineStr">
        <is>
          <t>caras interiores menos 82 m² de muros de baño en microcemento</t>
        </is>
      </c>
    </row>
    <row r="24">
      <c r="A24" t="inlineStr">
        <is>
          <t>Pañetes, estucos y pinturas</t>
        </is>
      </c>
      <c r="B24" t="inlineStr">
        <is>
          <t>Cielo raso en drywall con pintura</t>
        </is>
      </c>
      <c r="C24" t="inlineStr">
        <is>
          <t>m²</t>
        </is>
      </c>
      <c r="D24" s="3" t="n">
        <v>202</v>
      </c>
      <c r="E24" s="4" t="n">
        <v>58000</v>
      </c>
      <c r="F24" s="4" t="n">
        <v>80000</v>
      </c>
      <c r="G24" s="4" t="n">
        <v>110000</v>
      </c>
      <c r="H24" s="9" t="n">
        <v>0.45</v>
      </c>
      <c r="I24" s="9" t="n">
        <v>0.45</v>
      </c>
      <c r="J24" s="9" t="n">
        <v>0.45</v>
      </c>
      <c r="K24" s="6">
        <f>ROUND(D24*E24,0)</f>
        <v/>
      </c>
      <c r="L24" s="6">
        <f>ROUND(D24*F24,0)</f>
        <v/>
      </c>
      <c r="M24" s="6">
        <f>ROUND(D24*G24,0)</f>
        <v/>
      </c>
      <c r="N24" s="6">
        <f>ROUND(K24*H24,0)</f>
        <v/>
      </c>
      <c r="O24" s="6">
        <f>ROUND(L24*I24,0)</f>
        <v/>
      </c>
      <c r="P24" s="6">
        <f>ROUND(M24*J24,0)</f>
        <v/>
      </c>
      <c r="Q24" t="inlineStr">
        <is>
          <t>F7</t>
        </is>
      </c>
      <c r="R24" t="inlineStr">
        <is>
          <t>cielos de PB (sin la zona de listones) y de PA incluido el vacío</t>
        </is>
      </c>
    </row>
    <row r="25">
      <c r="A25" t="inlineStr">
        <is>
          <t>Pañetes, estucos y pinturas</t>
        </is>
      </c>
      <c r="B25" t="inlineStr">
        <is>
          <t>Pintura elastomérica de fachada y aleros</t>
        </is>
      </c>
      <c r="C25" t="inlineStr">
        <is>
          <t>m²</t>
        </is>
      </c>
      <c r="D25" s="3" t="n">
        <v>166.6</v>
      </c>
      <c r="E25" s="4" t="n">
        <v>32000</v>
      </c>
      <c r="F25" s="4" t="n">
        <v>45000</v>
      </c>
      <c r="G25" s="4" t="n">
        <v>65000</v>
      </c>
      <c r="H25" s="9" t="n">
        <v>0.55</v>
      </c>
      <c r="I25" s="9" t="n">
        <v>0.55</v>
      </c>
      <c r="J25" s="9" t="n">
        <v>0.55</v>
      </c>
      <c r="K25" s="6">
        <f>ROUND(D25*E25,0)</f>
        <v/>
      </c>
      <c r="L25" s="6">
        <f>ROUND(D25*F25,0)</f>
        <v/>
      </c>
      <c r="M25" s="6">
        <f>ROUND(D25*G25,0)</f>
        <v/>
      </c>
      <c r="N25" s="6">
        <f>ROUND(K25*H25,0)</f>
        <v/>
      </c>
      <c r="O25" s="6">
        <f>ROUND(L25*I25,0)</f>
        <v/>
      </c>
      <c r="P25" s="6">
        <f>ROUND(M25*J25,0)</f>
        <v/>
      </c>
      <c r="Q25" t="inlineStr">
        <is>
          <t>F6</t>
        </is>
      </c>
      <c r="R25" t="inlineStr">
        <is>
          <t>muros de la caja superior + aletas del pórtico + antepechos y cantos + aleros</t>
        </is>
      </c>
    </row>
    <row r="26">
      <c r="A26" t="inlineStr">
        <is>
          <t>Pisos y enchapes</t>
        </is>
      </c>
      <c r="B26" t="inlineStr">
        <is>
          <t>Alistado de pisos bajo porcelanato, madera y microcemento</t>
        </is>
      </c>
      <c r="C26" t="inlineStr">
        <is>
          <t>m²</t>
        </is>
      </c>
      <c r="D26" s="3" t="n">
        <v>200.75</v>
      </c>
      <c r="E26" s="4" t="n">
        <v>24000</v>
      </c>
      <c r="F26" s="4" t="n">
        <v>32000</v>
      </c>
      <c r="G26" s="4" t="n">
        <v>42000</v>
      </c>
      <c r="H26" s="9" t="n">
        <v>0.55</v>
      </c>
      <c r="I26" s="9" t="n">
        <v>0.55</v>
      </c>
      <c r="J26" s="9" t="n">
        <v>0.55</v>
      </c>
      <c r="K26" s="6">
        <f>ROUND(D26*E26,0)</f>
        <v/>
      </c>
      <c r="L26" s="6">
        <f>ROUND(D26*F26,0)</f>
        <v/>
      </c>
      <c r="M26" s="6">
        <f>ROUND(D26*G26,0)</f>
        <v/>
      </c>
      <c r="N26" s="6">
        <f>ROUND(K26*H26,0)</f>
        <v/>
      </c>
      <c r="O26" s="6">
        <f>ROUND(L26*I26,0)</f>
        <v/>
      </c>
      <c r="P26" s="6">
        <f>ROUND(M26*J26,0)</f>
        <v/>
      </c>
      <c r="Q26" t="inlineStr">
        <is>
          <t>supuesto</t>
        </is>
      </c>
      <c r="R26" t="inlineStr"/>
    </row>
    <row r="27">
      <c r="A27" t="inlineStr">
        <is>
          <t>Pisos y enchapes</t>
        </is>
      </c>
      <c r="B27" t="inlineStr">
        <is>
          <t>Porcelanato símil mármol 120×120 instalado (8 % de desperdicio)</t>
        </is>
      </c>
      <c r="C27" t="inlineStr">
        <is>
          <t>m²</t>
        </is>
      </c>
      <c r="D27" s="3" t="n">
        <v>89.65000000000001</v>
      </c>
      <c r="E27" s="4" t="n">
        <v>129600</v>
      </c>
      <c r="F27" s="4" t="n">
        <v>246400</v>
      </c>
      <c r="G27" s="4" t="n">
        <v>456600</v>
      </c>
      <c r="H27" s="9" t="n">
        <v>0.3086</v>
      </c>
      <c r="I27" s="9" t="n">
        <v>0.2435</v>
      </c>
      <c r="J27" s="9" t="n">
        <v>0.1862</v>
      </c>
      <c r="K27" s="6">
        <f>ROUND(D27*E27,0)</f>
        <v/>
      </c>
      <c r="L27" s="6">
        <f>ROUND(D27*F27,0)</f>
        <v/>
      </c>
      <c r="M27" s="6">
        <f>ROUND(D27*G27,0)</f>
        <v/>
      </c>
      <c r="N27" s="6">
        <f>ROUND(K27*H27,0)</f>
        <v/>
      </c>
      <c r="O27" s="6">
        <f>ROUND(L27*I27,0)</f>
        <v/>
      </c>
      <c r="P27" s="6">
        <f>ROUND(M27*J27,0)</f>
        <v/>
      </c>
      <c r="Q27" t="inlineStr">
        <is>
          <t>material F1 × 1,08 + instalación L13 + pegante y niveladores (supuesto)</t>
        </is>
      </c>
      <c r="R27" t="inlineStr">
        <is>
          <t>vestíbulo y oficina 9,2×3,1 + hall 8,14×2,5 + cocina, comedor y sala 10,74×3,8</t>
        </is>
      </c>
    </row>
    <row r="28">
      <c r="A28" t="inlineStr">
        <is>
          <t>Pisos y enchapes</t>
        </is>
      </c>
      <c r="B28" t="inlineStr">
        <is>
          <t>Piso de roble de ingeniería instalado</t>
        </is>
      </c>
      <c r="C28" t="inlineStr">
        <is>
          <t>m²</t>
        </is>
      </c>
      <c r="D28" s="3" t="n">
        <v>66.09999999999999</v>
      </c>
      <c r="E28" s="4" t="n">
        <v>235000</v>
      </c>
      <c r="F28" s="4" t="n">
        <v>320000</v>
      </c>
      <c r="G28" s="4" t="n">
        <v>480000</v>
      </c>
      <c r="H28" s="9" t="n">
        <v>0.13</v>
      </c>
      <c r="I28" s="9" t="n">
        <v>0.13</v>
      </c>
      <c r="J28" s="9" t="n">
        <v>0.13</v>
      </c>
      <c r="K28" s="6">
        <f>ROUND(D28*E28,0)</f>
        <v/>
      </c>
      <c r="L28" s="6">
        <f>ROUND(D28*F28,0)</f>
        <v/>
      </c>
      <c r="M28" s="6">
        <f>ROUND(D28*G28,0)</f>
        <v/>
      </c>
      <c r="N28" s="6">
        <f>ROUND(K28*H28,0)</f>
        <v/>
      </c>
      <c r="O28" s="6">
        <f>ROUND(L28*I28,0)</f>
        <v/>
      </c>
      <c r="P28" s="6">
        <f>ROUND(M28*J28,0)</f>
        <v/>
      </c>
      <c r="Q28" t="inlineStr">
        <is>
          <t>F2</t>
        </is>
      </c>
      <c r="R28" t="inlineStr">
        <is>
          <t>habitaciones 2 y 3, pasillo y galería, vestier y habitación principal</t>
        </is>
      </c>
    </row>
    <row r="29">
      <c r="A29" t="inlineStr">
        <is>
          <t>Pisos y enchapes</t>
        </is>
      </c>
      <c r="B29" t="inlineStr">
        <is>
          <t>Microcemento en pisos y muros de baño</t>
        </is>
      </c>
      <c r="C29" t="inlineStr">
        <is>
          <t>m²</t>
        </is>
      </c>
      <c r="D29" s="3" t="n">
        <v>127.1</v>
      </c>
      <c r="E29" s="4" t="n">
        <v>125000</v>
      </c>
      <c r="F29" s="4" t="n">
        <v>175000</v>
      </c>
      <c r="G29" s="4" t="n">
        <v>270000</v>
      </c>
      <c r="H29" s="9" t="n">
        <v>0.5</v>
      </c>
      <c r="I29" s="9" t="n">
        <v>0.5</v>
      </c>
      <c r="J29" s="9" t="n">
        <v>0.5</v>
      </c>
      <c r="K29" s="6">
        <f>ROUND(D29*E29,0)</f>
        <v/>
      </c>
      <c r="L29" s="6">
        <f>ROUND(D29*F29,0)</f>
        <v/>
      </c>
      <c r="M29" s="6">
        <f>ROUND(D29*G29,0)</f>
        <v/>
      </c>
      <c r="N29" s="6">
        <f>ROUND(K29*H29,0)</f>
        <v/>
      </c>
      <c r="O29" s="6">
        <f>ROUND(L29*I29,0)</f>
        <v/>
      </c>
      <c r="P29" s="6">
        <f>ROUND(M29*J29,0)</f>
        <v/>
      </c>
      <c r="Q29" t="inlineStr">
        <is>
          <t>F3</t>
        </is>
      </c>
      <c r="R29" t="inlineStr">
        <is>
          <t>pisos: baño social, servicio, suite de servicio y baños de PA (45 m²) + muros de los 4 baños (82 m²)</t>
        </is>
      </c>
    </row>
    <row r="30">
      <c r="A30" t="inlineStr">
        <is>
          <t>Pisos y enchapes</t>
        </is>
      </c>
      <c r="B30" t="inlineStr">
        <is>
          <t>Concreto pulido y sellado en garaje</t>
        </is>
      </c>
      <c r="C30" t="inlineStr">
        <is>
          <t>m²</t>
        </is>
      </c>
      <c r="D30" s="3" t="n">
        <v>28.73</v>
      </c>
      <c r="E30" s="4" t="n">
        <v>45000</v>
      </c>
      <c r="F30" s="4" t="n">
        <v>65000</v>
      </c>
      <c r="G30" s="4" t="n">
        <v>90000</v>
      </c>
      <c r="H30" s="9" t="n">
        <v>0.5</v>
      </c>
      <c r="I30" s="9" t="n">
        <v>0.5</v>
      </c>
      <c r="J30" s="9" t="n">
        <v>0.5</v>
      </c>
      <c r="K30" s="6">
        <f>ROUND(D30*E30,0)</f>
        <v/>
      </c>
      <c r="L30" s="6">
        <f>ROUND(D30*F30,0)</f>
        <v/>
      </c>
      <c r="M30" s="6">
        <f>ROUND(D30*G30,0)</f>
        <v/>
      </c>
      <c r="N30" s="6">
        <f>ROUND(K30*H30,0)</f>
        <v/>
      </c>
      <c r="O30" s="6">
        <f>ROUND(L30*I30,0)</f>
        <v/>
      </c>
      <c r="P30" s="6">
        <f>ROUND(M30*J30,0)</f>
        <v/>
      </c>
      <c r="Q30" t="inlineStr">
        <is>
          <t>supuesto</t>
        </is>
      </c>
      <c r="R30" t="inlineStr">
        <is>
          <t>garaje</t>
        </is>
      </c>
    </row>
    <row r="31">
      <c r="A31" t="inlineStr">
        <is>
          <t>Fachadas y madera</t>
        </is>
      </c>
      <c r="B31" t="inlineStr">
        <is>
          <t>Enchape de piedra coralina (fachadas, muro de contención y jardineras)</t>
        </is>
      </c>
      <c r="C31" t="inlineStr">
        <is>
          <t>m²</t>
        </is>
      </c>
      <c r="D31" s="3" t="n">
        <v>177.7</v>
      </c>
      <c r="E31" s="4" t="n">
        <v>215000</v>
      </c>
      <c r="F31" s="4" t="n">
        <v>270000</v>
      </c>
      <c r="G31" s="4" t="n">
        <v>370000</v>
      </c>
      <c r="H31" s="9" t="n">
        <v>0.3</v>
      </c>
      <c r="I31" s="9" t="n">
        <v>0.3</v>
      </c>
      <c r="J31" s="9" t="n">
        <v>0.3</v>
      </c>
      <c r="K31" s="6">
        <f>ROUND(D31*E31,0)</f>
        <v/>
      </c>
      <c r="L31" s="6">
        <f>ROUND(D31*F31,0)</f>
        <v/>
      </c>
      <c r="M31" s="6">
        <f>ROUND(D31*G31,0)</f>
        <v/>
      </c>
      <c r="N31" s="6">
        <f>ROUND(K31*H31,0)</f>
        <v/>
      </c>
      <c r="O31" s="6">
        <f>ROUND(L31*I31,0)</f>
        <v/>
      </c>
      <c r="P31" s="6">
        <f>ROUND(M31*J31,0)</f>
        <v/>
      </c>
      <c r="Q31" t="inlineStr">
        <is>
          <t>F4</t>
        </is>
      </c>
      <c r="R31" t="inlineStr">
        <is>
          <t>muros exteriores de PB + cara del muro de contención + jardineras y muro bajo frontal</t>
        </is>
      </c>
    </row>
    <row r="32">
      <c r="A32" t="inlineStr">
        <is>
          <t>Fachadas y madera</t>
        </is>
      </c>
      <c r="B32" t="inlineStr">
        <is>
          <t>Listones de madera: cielo de sala, celosías, pérgola y muro de TV</t>
        </is>
      </c>
      <c r="C32" t="inlineStr">
        <is>
          <t>m²</t>
        </is>
      </c>
      <c r="D32" s="3" t="n">
        <v>84.90000000000001</v>
      </c>
      <c r="E32" s="4" t="n">
        <v>230000</v>
      </c>
      <c r="F32" s="4" t="n">
        <v>340000</v>
      </c>
      <c r="G32" s="4" t="n">
        <v>520000</v>
      </c>
      <c r="H32" s="9" t="n">
        <v>0.35</v>
      </c>
      <c r="I32" s="9" t="n">
        <v>0.35</v>
      </c>
      <c r="J32" s="9" t="n">
        <v>0.35</v>
      </c>
      <c r="K32" s="6">
        <f>ROUND(D32*E32,0)</f>
        <v/>
      </c>
      <c r="L32" s="6">
        <f>ROUND(D32*F32,0)</f>
        <v/>
      </c>
      <c r="M32" s="6">
        <f>ROUND(D32*G32,0)</f>
        <v/>
      </c>
      <c r="N32" s="6">
        <f>ROUND(K32*H32,0)</f>
        <v/>
      </c>
      <c r="O32" s="6">
        <f>ROUND(L32*I32,0)</f>
        <v/>
      </c>
      <c r="P32" s="6">
        <f>ROUND(M32*J32,0)</f>
        <v/>
      </c>
      <c r="Q32" t="inlineStr">
        <is>
          <t>F10</t>
        </is>
      </c>
      <c r="R32" t="inlineStr">
        <is>
          <t>cielo de sala y comedor + celosías oriente/occidente + pérgola + muro de TV</t>
        </is>
      </c>
    </row>
    <row r="33">
      <c r="A33" t="inlineStr">
        <is>
          <t>Fachadas y madera</t>
        </is>
      </c>
      <c r="B33" t="inlineStr">
        <is>
          <t>Estructura metálica de pérgola y celosías</t>
        </is>
      </c>
      <c r="C33" t="inlineStr">
        <is>
          <t>global</t>
        </is>
      </c>
      <c r="D33" s="3" t="n">
        <v>1</v>
      </c>
      <c r="E33" s="4" t="n">
        <v>7000000</v>
      </c>
      <c r="F33" s="4" t="n">
        <v>9500000</v>
      </c>
      <c r="G33" s="4" t="n">
        <v>13000000</v>
      </c>
      <c r="H33" s="9" t="n">
        <v>0.4</v>
      </c>
      <c r="I33" s="9" t="n">
        <v>0.4</v>
      </c>
      <c r="J33" s="9" t="n">
        <v>0.4</v>
      </c>
      <c r="K33" s="6">
        <f>ROUND(D33*E33,0)</f>
        <v/>
      </c>
      <c r="L33" s="6">
        <f>ROUND(D33*F33,0)</f>
        <v/>
      </c>
      <c r="M33" s="6">
        <f>ROUND(D33*G33,0)</f>
        <v/>
      </c>
      <c r="N33" s="6">
        <f>ROUND(K33*H33,0)</f>
        <v/>
      </c>
      <c r="O33" s="6">
        <f>ROUND(L33*I33,0)</f>
        <v/>
      </c>
      <c r="P33" s="6">
        <f>ROUND(M33*J33,0)</f>
        <v/>
      </c>
      <c r="Q33" t="inlineStr">
        <is>
          <t>supuesto</t>
        </is>
      </c>
      <c r="R33" t="inlineStr"/>
    </row>
    <row r="34">
      <c r="A34" t="inlineStr">
        <is>
          <t>Cubiertas, impermeabilización y decks</t>
        </is>
      </c>
      <c r="B34" t="inlineStr">
        <is>
          <t>Impermeabilización de cubierta, terrazas y balcones</t>
        </is>
      </c>
      <c r="C34" t="inlineStr">
        <is>
          <t>m²</t>
        </is>
      </c>
      <c r="D34" s="3" t="n">
        <v>228.83</v>
      </c>
      <c r="E34" s="4" t="n">
        <v>60000</v>
      </c>
      <c r="F34" s="4" t="n">
        <v>110000</v>
      </c>
      <c r="G34" s="4" t="n">
        <v>165000</v>
      </c>
      <c r="H34" s="9" t="n">
        <v>0.35</v>
      </c>
      <c r="I34" s="9" t="n">
        <v>0.35</v>
      </c>
      <c r="J34" s="9" t="n">
        <v>0.35</v>
      </c>
      <c r="K34" s="6">
        <f>ROUND(D34*E34,0)</f>
        <v/>
      </c>
      <c r="L34" s="6">
        <f>ROUND(D34*F34,0)</f>
        <v/>
      </c>
      <c r="M34" s="6">
        <f>ROUND(D34*G34,0)</f>
        <v/>
      </c>
      <c r="N34" s="6">
        <f>ROUND(K34*H34,0)</f>
        <v/>
      </c>
      <c r="O34" s="6">
        <f>ROUND(L34*I34,0)</f>
        <v/>
      </c>
      <c r="P34" s="6">
        <f>ROUND(M34*J34,0)</f>
        <v/>
      </c>
      <c r="Q34" t="inlineStr">
        <is>
          <t>G12</t>
        </is>
      </c>
      <c r="R34" t="inlineStr">
        <is>
          <t>cubierta + cubierta verde + terrazas y balcones sobre losa</t>
        </is>
      </c>
    </row>
    <row r="35">
      <c r="A35" t="inlineStr">
        <is>
          <t>Cubiertas, impermeabilización y decks</t>
        </is>
      </c>
      <c r="B35" t="inlineStr">
        <is>
          <t>Cubierta verde extensiva</t>
        </is>
      </c>
      <c r="C35" t="inlineStr">
        <is>
          <t>m²</t>
        </is>
      </c>
      <c r="D35" s="3" t="n">
        <v>23.1</v>
      </c>
      <c r="E35" s="4" t="n">
        <v>170000</v>
      </c>
      <c r="F35" s="4" t="n">
        <v>240000</v>
      </c>
      <c r="G35" s="4" t="n">
        <v>350000</v>
      </c>
      <c r="H35" s="9" t="n">
        <v>0.3</v>
      </c>
      <c r="I35" s="9" t="n">
        <v>0.3</v>
      </c>
      <c r="J35" s="9" t="n">
        <v>0.3</v>
      </c>
      <c r="K35" s="6">
        <f>ROUND(D35*E35,0)</f>
        <v/>
      </c>
      <c r="L35" s="6">
        <f>ROUND(D35*F35,0)</f>
        <v/>
      </c>
      <c r="M35" s="6">
        <f>ROUND(D35*G35,0)</f>
        <v/>
      </c>
      <c r="N35" s="6">
        <f>ROUND(K35*H35,0)</f>
        <v/>
      </c>
      <c r="O35" s="6">
        <f>ROUND(L35*I35,0)</f>
        <v/>
      </c>
      <c r="P35" s="6">
        <f>ROUND(M35*J35,0)</f>
        <v/>
      </c>
      <c r="Q35" t="inlineStr">
        <is>
          <t>F12</t>
        </is>
      </c>
      <c r="R35" t="inlineStr">
        <is>
          <t>franja sobre la sala y techo de la ampliación</t>
        </is>
      </c>
    </row>
    <row r="36">
      <c r="A36" t="inlineStr">
        <is>
          <t>Cubiertas, impermeabilización y decks</t>
        </is>
      </c>
      <c r="B36" t="inlineStr">
        <is>
          <t>Gravilla de protección en cubierta</t>
        </is>
      </c>
      <c r="C36" t="inlineStr">
        <is>
          <t>m²</t>
        </is>
      </c>
      <c r="D36" s="3" t="n">
        <v>145</v>
      </c>
      <c r="E36" s="4" t="n">
        <v>12000</v>
      </c>
      <c r="F36" s="4" t="n">
        <v>18000</v>
      </c>
      <c r="G36" s="4" t="n">
        <v>26000</v>
      </c>
      <c r="H36" s="9" t="n">
        <v>0.4</v>
      </c>
      <c r="I36" s="9" t="n">
        <v>0.4</v>
      </c>
      <c r="J36" s="9" t="n">
        <v>0.4</v>
      </c>
      <c r="K36" s="6">
        <f>ROUND(D36*E36,0)</f>
        <v/>
      </c>
      <c r="L36" s="6">
        <f>ROUND(D36*F36,0)</f>
        <v/>
      </c>
      <c r="M36" s="6">
        <f>ROUND(D36*G36,0)</f>
        <v/>
      </c>
      <c r="N36" s="6">
        <f>ROUND(K36*H36,0)</f>
        <v/>
      </c>
      <c r="O36" s="6">
        <f>ROUND(L36*I36,0)</f>
        <v/>
      </c>
      <c r="P36" s="6">
        <f>ROUND(M36*J36,0)</f>
        <v/>
      </c>
      <c r="Q36" t="inlineStr">
        <is>
          <t>supuesto</t>
        </is>
      </c>
      <c r="R36" t="inlineStr">
        <is>
          <t>cubierta superior</t>
        </is>
      </c>
    </row>
    <row r="37">
      <c r="A37" t="inlineStr">
        <is>
          <t>Cubiertas, impermeabilización y decks</t>
        </is>
      </c>
      <c r="B37" t="inlineStr">
        <is>
          <t>Deck de teca en terraza, balcones y patio de servicio</t>
        </is>
      </c>
      <c r="C37" t="inlineStr">
        <is>
          <t>m²</t>
        </is>
      </c>
      <c r="D37" s="3" t="n">
        <v>92.34999999999999</v>
      </c>
      <c r="E37" s="4" t="n">
        <v>350000</v>
      </c>
      <c r="F37" s="4" t="n">
        <v>480000</v>
      </c>
      <c r="G37" s="4" t="n">
        <v>680000</v>
      </c>
      <c r="H37" s="9" t="n">
        <v>0.3</v>
      </c>
      <c r="I37" s="9" t="n">
        <v>0.3</v>
      </c>
      <c r="J37" s="9" t="n">
        <v>0.3</v>
      </c>
      <c r="K37" s="6">
        <f>ROUND(D37*E37,0)</f>
        <v/>
      </c>
      <c r="L37" s="6">
        <f>ROUND(D37*F37,0)</f>
        <v/>
      </c>
      <c r="M37" s="6">
        <f>ROUND(D37*G37,0)</f>
        <v/>
      </c>
      <c r="N37" s="6">
        <f>ROUND(K37*H37,0)</f>
        <v/>
      </c>
      <c r="O37" s="6">
        <f>ROUND(L37*I37,0)</f>
        <v/>
      </c>
      <c r="P37" s="6">
        <f>ROUND(M37*J37,0)</f>
        <v/>
      </c>
      <c r="Q37" t="inlineStr">
        <is>
          <t>F8</t>
        </is>
      </c>
      <c r="R37" t="inlineStr">
        <is>
          <t>terraza 11×3,2 + 2 balcones norte + balcón principal + terraza familiar + patio de servicio</t>
        </is>
      </c>
    </row>
    <row r="38">
      <c r="A38" t="inlineStr">
        <is>
          <t>Instalaciones hidrosanitarias y gas</t>
        </is>
      </c>
      <c r="B38" t="inlineStr">
        <is>
          <t>Red hidrosanitaria completa (fría, caliente, desagües y aguas lluvias)</t>
        </is>
      </c>
      <c r="C38" t="inlineStr">
        <is>
          <t>m²</t>
        </is>
      </c>
      <c r="D38" s="3" t="n">
        <v>251.44</v>
      </c>
      <c r="E38" s="4" t="n">
        <v>150000</v>
      </c>
      <c r="F38" s="4" t="n">
        <v>210000</v>
      </c>
      <c r="G38" s="4" t="n">
        <v>290000</v>
      </c>
      <c r="H38" s="9" t="n">
        <v>0.45</v>
      </c>
      <c r="I38" s="9" t="n">
        <v>0.45</v>
      </c>
      <c r="J38" s="9" t="n">
        <v>0.45</v>
      </c>
      <c r="K38" s="6">
        <f>ROUND(D38*E38,0)</f>
        <v/>
      </c>
      <c r="L38" s="6">
        <f>ROUND(D38*F38,0)</f>
        <v/>
      </c>
      <c r="M38" s="6">
        <f>ROUND(D38*G38,0)</f>
        <v/>
      </c>
      <c r="N38" s="6">
        <f>ROUND(K38*H38,0)</f>
        <v/>
      </c>
      <c r="O38" s="6">
        <f>ROUND(L38*I38,0)</f>
        <v/>
      </c>
      <c r="P38" s="6">
        <f>ROUND(M38*J38,0)</f>
        <v/>
      </c>
      <c r="Q38" t="inlineStr">
        <is>
          <t>M3</t>
        </is>
      </c>
      <c r="R38" t="inlineStr">
        <is>
          <t>PB 159.8 + PA 91.64</t>
        </is>
      </c>
    </row>
    <row r="39">
      <c r="A39" t="inlineStr">
        <is>
          <t>Instalaciones hidrosanitarias y gas</t>
        </is>
      </c>
      <c r="B39" t="inlineStr">
        <is>
          <t>Red interna de gas natural</t>
        </is>
      </c>
      <c r="C39" t="inlineStr">
        <is>
          <t>global</t>
        </is>
      </c>
      <c r="D39" s="3" t="n">
        <v>1</v>
      </c>
      <c r="E39" s="4" t="n">
        <v>2500000</v>
      </c>
      <c r="F39" s="4" t="n">
        <v>3500000</v>
      </c>
      <c r="G39" s="4" t="n">
        <v>5000000</v>
      </c>
      <c r="H39" s="9" t="n">
        <v>0.5</v>
      </c>
      <c r="I39" s="9" t="n">
        <v>0.5</v>
      </c>
      <c r="J39" s="9" t="n">
        <v>0.5</v>
      </c>
      <c r="K39" s="6">
        <f>ROUND(D39*E39,0)</f>
        <v/>
      </c>
      <c r="L39" s="6">
        <f>ROUND(D39*F39,0)</f>
        <v/>
      </c>
      <c r="M39" s="6">
        <f>ROUND(D39*G39,0)</f>
        <v/>
      </c>
      <c r="N39" s="6">
        <f>ROUND(K39*H39,0)</f>
        <v/>
      </c>
      <c r="O39" s="6">
        <f>ROUND(L39*I39,0)</f>
        <v/>
      </c>
      <c r="P39" s="6">
        <f>ROUND(M39*J39,0)</f>
        <v/>
      </c>
      <c r="Q39" t="inlineStr">
        <is>
          <t>M4</t>
        </is>
      </c>
      <c r="R39" t="inlineStr"/>
    </row>
    <row r="40">
      <c r="A40" t="inlineStr">
        <is>
          <t>Instalaciones hidrosanitarias y gas</t>
        </is>
      </c>
      <c r="B40" t="inlineStr">
        <is>
          <t>Calentador de agua</t>
        </is>
      </c>
      <c r="C40" t="inlineStr">
        <is>
          <t>und</t>
        </is>
      </c>
      <c r="D40" s="3" t="n">
        <v>1</v>
      </c>
      <c r="E40" s="4" t="n">
        <v>2500000</v>
      </c>
      <c r="F40" s="4" t="n">
        <v>4000000</v>
      </c>
      <c r="G40" s="4" t="n">
        <v>7000000</v>
      </c>
      <c r="H40" s="9" t="n">
        <v>0.1</v>
      </c>
      <c r="I40" s="9" t="n">
        <v>0.1</v>
      </c>
      <c r="J40" s="9" t="n">
        <v>0.1</v>
      </c>
      <c r="K40" s="6">
        <f>ROUND(D40*E40,0)</f>
        <v/>
      </c>
      <c r="L40" s="6">
        <f>ROUND(D40*F40,0)</f>
        <v/>
      </c>
      <c r="M40" s="6">
        <f>ROUND(D40*G40,0)</f>
        <v/>
      </c>
      <c r="N40" s="6">
        <f>ROUND(K40*H40,0)</f>
        <v/>
      </c>
      <c r="O40" s="6">
        <f>ROUND(L40*I40,0)</f>
        <v/>
      </c>
      <c r="P40" s="6">
        <f>ROUND(M40*J40,0)</f>
        <v/>
      </c>
      <c r="Q40" t="inlineStr">
        <is>
          <t>W15</t>
        </is>
      </c>
      <c r="R40" t="inlineStr"/>
    </row>
    <row r="41">
      <c r="A41" t="inlineStr">
        <is>
          <t>Instalaciones eléctricas y datos</t>
        </is>
      </c>
      <c r="B41" t="inlineStr">
        <is>
          <t>Instalación eléctrica con tableros y certificación RETIE</t>
        </is>
      </c>
      <c r="C41" t="inlineStr">
        <is>
          <t>m²</t>
        </is>
      </c>
      <c r="D41" s="3" t="n">
        <v>251.44</v>
      </c>
      <c r="E41" s="4" t="n">
        <v>170000</v>
      </c>
      <c r="F41" s="4" t="n">
        <v>230000</v>
      </c>
      <c r="G41" s="4" t="n">
        <v>320000</v>
      </c>
      <c r="H41" s="9" t="n">
        <v>0.45</v>
      </c>
      <c r="I41" s="9" t="n">
        <v>0.45</v>
      </c>
      <c r="J41" s="9" t="n">
        <v>0.45</v>
      </c>
      <c r="K41" s="6">
        <f>ROUND(D41*E41,0)</f>
        <v/>
      </c>
      <c r="L41" s="6">
        <f>ROUND(D41*F41,0)</f>
        <v/>
      </c>
      <c r="M41" s="6">
        <f>ROUND(D41*G41,0)</f>
        <v/>
      </c>
      <c r="N41" s="6">
        <f>ROUND(K41*H41,0)</f>
        <v/>
      </c>
      <c r="O41" s="6">
        <f>ROUND(L41*I41,0)</f>
        <v/>
      </c>
      <c r="P41" s="6">
        <f>ROUND(M41*J41,0)</f>
        <v/>
      </c>
      <c r="Q41" t="inlineStr">
        <is>
          <t>M1</t>
        </is>
      </c>
      <c r="R41" t="inlineStr">
        <is>
          <t>PB 159.8 + PA 91.64</t>
        </is>
      </c>
    </row>
    <row r="42">
      <c r="A42" t="inlineStr">
        <is>
          <t>Instalaciones eléctricas y datos</t>
        </is>
      </c>
      <c r="B42" t="inlineStr">
        <is>
          <t>Iluminación LED interior y exterior</t>
        </is>
      </c>
      <c r="C42" t="inlineStr">
        <is>
          <t>m²</t>
        </is>
      </c>
      <c r="D42" s="3" t="n">
        <v>251.44</v>
      </c>
      <c r="E42" s="4" t="n">
        <v>60000</v>
      </c>
      <c r="F42" s="4" t="n">
        <v>95000</v>
      </c>
      <c r="G42" s="4" t="n">
        <v>150000</v>
      </c>
      <c r="H42" s="9" t="n">
        <v>0.2</v>
      </c>
      <c r="I42" s="9" t="n">
        <v>0.2</v>
      </c>
      <c r="J42" s="9" t="n">
        <v>0.2</v>
      </c>
      <c r="K42" s="6">
        <f>ROUND(D42*E42,0)</f>
        <v/>
      </c>
      <c r="L42" s="6">
        <f>ROUND(D42*F42,0)</f>
        <v/>
      </c>
      <c r="M42" s="6">
        <f>ROUND(D42*G42,0)</f>
        <v/>
      </c>
      <c r="N42" s="6">
        <f>ROUND(K42*H42,0)</f>
        <v/>
      </c>
      <c r="O42" s="6">
        <f>ROUND(L42*I42,0)</f>
        <v/>
      </c>
      <c r="P42" s="6">
        <f>ROUND(M42*J42,0)</f>
        <v/>
      </c>
      <c r="Q42" t="inlineStr">
        <is>
          <t>M2</t>
        </is>
      </c>
      <c r="R42" t="inlineStr">
        <is>
          <t>PB 159.8 + PA 91.64</t>
        </is>
      </c>
    </row>
    <row r="43">
      <c r="A43" t="inlineStr">
        <is>
          <t>Instalaciones eléctricas y datos</t>
        </is>
      </c>
      <c r="B43" t="inlineStr">
        <is>
          <t>Domótica básica de iluminación y escenas</t>
        </is>
      </c>
      <c r="C43" t="inlineStr">
        <is>
          <t>global</t>
        </is>
      </c>
      <c r="D43" s="3" t="n">
        <v>1</v>
      </c>
      <c r="E43" s="4" t="n">
        <v>6000000</v>
      </c>
      <c r="F43" s="4" t="n">
        <v>12000000</v>
      </c>
      <c r="G43" s="4" t="n">
        <v>25000000</v>
      </c>
      <c r="H43" s="9" t="n">
        <v>0.3</v>
      </c>
      <c r="I43" s="9" t="n">
        <v>0.3</v>
      </c>
      <c r="J43" s="9" t="n">
        <v>0.3</v>
      </c>
      <c r="K43" s="6">
        <f>ROUND(D43*E43,0)</f>
        <v/>
      </c>
      <c r="L43" s="6">
        <f>ROUND(D43*F43,0)</f>
        <v/>
      </c>
      <c r="M43" s="6">
        <f>ROUND(D43*G43,0)</f>
        <v/>
      </c>
      <c r="N43" s="6">
        <f>ROUND(K43*H43,0)</f>
        <v/>
      </c>
      <c r="O43" s="6">
        <f>ROUND(L43*I43,0)</f>
        <v/>
      </c>
      <c r="P43" s="6">
        <f>ROUND(M43*J43,0)</f>
        <v/>
      </c>
      <c r="Q43" t="inlineStr">
        <is>
          <t>M15</t>
        </is>
      </c>
      <c r="R43" t="inlineStr"/>
    </row>
    <row r="44">
      <c r="A44" t="inlineStr">
        <is>
          <t>Instalaciones eléctricas y datos</t>
        </is>
      </c>
      <c r="B44" t="inlineStr">
        <is>
          <t>Red de datos, CCTV y citofonía</t>
        </is>
      </c>
      <c r="C44" t="inlineStr">
        <is>
          <t>global</t>
        </is>
      </c>
      <c r="D44" s="3" t="n">
        <v>1</v>
      </c>
      <c r="E44" s="4" t="n">
        <v>4000000</v>
      </c>
      <c r="F44" s="4" t="n">
        <v>7000000</v>
      </c>
      <c r="G44" s="4" t="n">
        <v>12000000</v>
      </c>
      <c r="H44" s="9" t="n">
        <v>0.3</v>
      </c>
      <c r="I44" s="9" t="n">
        <v>0.3</v>
      </c>
      <c r="J44" s="9" t="n">
        <v>0.3</v>
      </c>
      <c r="K44" s="6">
        <f>ROUND(D44*E44,0)</f>
        <v/>
      </c>
      <c r="L44" s="6">
        <f>ROUND(D44*F44,0)</f>
        <v/>
      </c>
      <c r="M44" s="6">
        <f>ROUND(D44*G44,0)</f>
        <v/>
      </c>
      <c r="N44" s="6">
        <f>ROUND(K44*H44,0)</f>
        <v/>
      </c>
      <c r="O44" s="6">
        <f>ROUND(L44*I44,0)</f>
        <v/>
      </c>
      <c r="P44" s="6">
        <f>ROUND(M44*J44,0)</f>
        <v/>
      </c>
      <c r="Q44" t="inlineStr">
        <is>
          <t>M16</t>
        </is>
      </c>
      <c r="R44" t="inlineStr"/>
    </row>
    <row r="45">
      <c r="A45" t="inlineStr">
        <is>
          <t>Aire acondicionado</t>
        </is>
      </c>
      <c r="B45" t="inlineStr">
        <is>
          <t>Mini split inverter de 12.000 BTU instalado</t>
        </is>
      </c>
      <c r="C45" t="inlineStr">
        <is>
          <t>und</t>
        </is>
      </c>
      <c r="D45" s="3" t="n">
        <v>5</v>
      </c>
      <c r="E45" s="4" t="n">
        <v>2800000</v>
      </c>
      <c r="F45" s="4" t="n">
        <v>3600000</v>
      </c>
      <c r="G45" s="4" t="n">
        <v>4800000</v>
      </c>
      <c r="H45" s="9" t="n">
        <v>0.2</v>
      </c>
      <c r="I45" s="9" t="n">
        <v>0.2</v>
      </c>
      <c r="J45" s="9" t="n">
        <v>0.2</v>
      </c>
      <c r="K45" s="6">
        <f>ROUND(D45*E45,0)</f>
        <v/>
      </c>
      <c r="L45" s="6">
        <f>ROUND(D45*F45,0)</f>
        <v/>
      </c>
      <c r="M45" s="6">
        <f>ROUND(D45*G45,0)</f>
        <v/>
      </c>
      <c r="N45" s="6">
        <f>ROUND(K45*H45,0)</f>
        <v/>
      </c>
      <c r="O45" s="6">
        <f>ROUND(L45*I45,0)</f>
        <v/>
      </c>
      <c r="P45" s="6">
        <f>ROUND(M45*J45,0)</f>
        <v/>
      </c>
      <c r="Q45" t="inlineStr">
        <is>
          <t>M5</t>
        </is>
      </c>
      <c r="R45" t="inlineStr">
        <is>
          <t>habitaciones 2, 3, principal, servicio y oficina</t>
        </is>
      </c>
    </row>
    <row r="46">
      <c r="A46" t="inlineStr">
        <is>
          <t>Aire acondicionado</t>
        </is>
      </c>
      <c r="B46" t="inlineStr">
        <is>
          <t>Mini split inverter de 24.000 BTU instalado</t>
        </is>
      </c>
      <c r="C46" t="inlineStr">
        <is>
          <t>und</t>
        </is>
      </c>
      <c r="D46" s="3" t="n">
        <v>2</v>
      </c>
      <c r="E46" s="4" t="n">
        <v>4600000</v>
      </c>
      <c r="F46" s="4" t="n">
        <v>6000000</v>
      </c>
      <c r="G46" s="4" t="n">
        <v>8000000</v>
      </c>
      <c r="H46" s="9" t="n">
        <v>0.2</v>
      </c>
      <c r="I46" s="9" t="n">
        <v>0.2</v>
      </c>
      <c r="J46" s="9" t="n">
        <v>0.2</v>
      </c>
      <c r="K46" s="6">
        <f>ROUND(D46*E46,0)</f>
        <v/>
      </c>
      <c r="L46" s="6">
        <f>ROUND(D46*F46,0)</f>
        <v/>
      </c>
      <c r="M46" s="6">
        <f>ROUND(D46*G46,0)</f>
        <v/>
      </c>
      <c r="N46" s="6">
        <f>ROUND(K46*H46,0)</f>
        <v/>
      </c>
      <c r="O46" s="6">
        <f>ROUND(L46*I46,0)</f>
        <v/>
      </c>
      <c r="P46" s="6">
        <f>ROUND(M46*J46,0)</f>
        <v/>
      </c>
      <c r="Q46" t="inlineStr">
        <is>
          <t>M7</t>
        </is>
      </c>
      <c r="R46" t="inlineStr">
        <is>
          <t>sala-comedor-cocina abierta (≈70 m² ligados a la doble altura)</t>
        </is>
      </c>
    </row>
    <row r="47">
      <c r="A47" t="inlineStr">
        <is>
          <t>Carpintería en madera</t>
        </is>
      </c>
      <c r="B47" t="inlineStr">
        <is>
          <t>Cocina integral de alta gama con isla</t>
        </is>
      </c>
      <c r="C47" t="inlineStr">
        <is>
          <t>ml</t>
        </is>
      </c>
      <c r="D47" s="3" t="n">
        <v>6.3</v>
      </c>
      <c r="E47" s="4" t="n">
        <v>2200000</v>
      </c>
      <c r="F47" s="4" t="n">
        <v>3200000</v>
      </c>
      <c r="G47" s="4" t="n">
        <v>5000000</v>
      </c>
      <c r="H47" s="9" t="n">
        <v>0.25</v>
      </c>
      <c r="I47" s="9" t="n">
        <v>0.25</v>
      </c>
      <c r="J47" s="9" t="n">
        <v>0.25</v>
      </c>
      <c r="K47" s="6">
        <f>ROUND(D47*E47,0)</f>
        <v/>
      </c>
      <c r="L47" s="6">
        <f>ROUND(D47*F47,0)</f>
        <v/>
      </c>
      <c r="M47" s="6">
        <f>ROUND(D47*G47,0)</f>
        <v/>
      </c>
      <c r="N47" s="6">
        <f>ROUND(K47*H47,0)</f>
        <v/>
      </c>
      <c r="O47" s="6">
        <f>ROUND(L47*I47,0)</f>
        <v/>
      </c>
      <c r="P47" s="6">
        <f>ROUND(M47*J47,0)</f>
        <v/>
      </c>
      <c r="Q47" t="inlineStr">
        <is>
          <t>W6</t>
        </is>
      </c>
      <c r="R47" t="inlineStr">
        <is>
          <t>mueble posterior 2,5 ml + torre de 1,2 ml + isla 2,6 ml</t>
        </is>
      </c>
    </row>
    <row r="48">
      <c r="A48" t="inlineStr">
        <is>
          <t>Carpintería en madera</t>
        </is>
      </c>
      <c r="B48" t="inlineStr">
        <is>
          <t>Muebles de lavandería y despensa</t>
        </is>
      </c>
      <c r="C48" t="inlineStr">
        <is>
          <t>ml</t>
        </is>
      </c>
      <c r="D48" s="3" t="n">
        <v>4</v>
      </c>
      <c r="E48" s="4" t="n">
        <v>990000</v>
      </c>
      <c r="F48" s="4" t="n">
        <v>1440000</v>
      </c>
      <c r="G48" s="4" t="n">
        <v>2250000</v>
      </c>
      <c r="H48" s="9" t="n">
        <v>0.25</v>
      </c>
      <c r="I48" s="9" t="n">
        <v>0.25</v>
      </c>
      <c r="J48" s="9" t="n">
        <v>0.25</v>
      </c>
      <c r="K48" s="6">
        <f>ROUND(D48*E48,0)</f>
        <v/>
      </c>
      <c r="L48" s="6">
        <f>ROUND(D48*F48,0)</f>
        <v/>
      </c>
      <c r="M48" s="6">
        <f>ROUND(D48*G48,0)</f>
        <v/>
      </c>
      <c r="N48" s="6">
        <f>ROUND(K48*H48,0)</f>
        <v/>
      </c>
      <c r="O48" s="6">
        <f>ROUND(L48*I48,0)</f>
        <v/>
      </c>
      <c r="P48" s="6">
        <f>ROUND(M48*J48,0)</f>
        <v/>
      </c>
      <c r="Q48" t="inlineStr">
        <is>
          <t>45 % del ml de cocina W6 (carpintería estándar)</t>
        </is>
      </c>
      <c r="R48" t="inlineStr">
        <is>
          <t>lavandería y despensa</t>
        </is>
      </c>
    </row>
    <row r="49">
      <c r="A49" t="inlineStr">
        <is>
          <t>Carpintería en madera</t>
        </is>
      </c>
      <c r="B49" t="inlineStr">
        <is>
          <t>Closets y vestier</t>
        </is>
      </c>
      <c r="C49" t="inlineStr">
        <is>
          <t>ml</t>
        </is>
      </c>
      <c r="D49" s="3" t="n">
        <v>7.6</v>
      </c>
      <c r="E49" s="4" t="n">
        <v>1100000</v>
      </c>
      <c r="F49" s="4" t="n">
        <v>1600000</v>
      </c>
      <c r="G49" s="4" t="n">
        <v>2400000</v>
      </c>
      <c r="H49" s="9" t="n">
        <v>0.25</v>
      </c>
      <c r="I49" s="9" t="n">
        <v>0.25</v>
      </c>
      <c r="J49" s="9" t="n">
        <v>0.25</v>
      </c>
      <c r="K49" s="6">
        <f>ROUND(D49*E49,0)</f>
        <v/>
      </c>
      <c r="L49" s="6">
        <f>ROUND(D49*F49,0)</f>
        <v/>
      </c>
      <c r="M49" s="6">
        <f>ROUND(D49*G49,0)</f>
        <v/>
      </c>
      <c r="N49" s="6">
        <f>ROUND(K49*H49,0)</f>
        <v/>
      </c>
      <c r="O49" s="6">
        <f>ROUND(L49*I49,0)</f>
        <v/>
      </c>
      <c r="P49" s="6">
        <f>ROUND(M49*J49,0)</f>
        <v/>
      </c>
      <c r="Q49" t="inlineStr">
        <is>
          <t>W7</t>
        </is>
      </c>
      <c r="R49" t="inlineStr">
        <is>
          <t>habitaciones 2, 3, servicio y vestier</t>
        </is>
      </c>
    </row>
    <row r="50">
      <c r="A50" t="inlineStr">
        <is>
          <t>Carpintería en madera</t>
        </is>
      </c>
      <c r="B50" t="inlineStr">
        <is>
          <t>Puertas interiores con marco y herrajes</t>
        </is>
      </c>
      <c r="C50" t="inlineStr">
        <is>
          <t>und</t>
        </is>
      </c>
      <c r="D50" s="3" t="n">
        <v>14</v>
      </c>
      <c r="E50" s="4" t="n">
        <v>900000</v>
      </c>
      <c r="F50" s="4" t="n">
        <v>1300000</v>
      </c>
      <c r="G50" s="4" t="n">
        <v>2000000</v>
      </c>
      <c r="H50" s="9" t="n">
        <v>0.2</v>
      </c>
      <c r="I50" s="9" t="n">
        <v>0.2</v>
      </c>
      <c r="J50" s="9" t="n">
        <v>0.2</v>
      </c>
      <c r="K50" s="6">
        <f>ROUND(D50*E50,0)</f>
        <v/>
      </c>
      <c r="L50" s="6">
        <f>ROUND(D50*F50,0)</f>
        <v/>
      </c>
      <c r="M50" s="6">
        <f>ROUND(D50*G50,0)</f>
        <v/>
      </c>
      <c r="N50" s="6">
        <f>ROUND(K50*H50,0)</f>
        <v/>
      </c>
      <c r="O50" s="6">
        <f>ROUND(L50*I50,0)</f>
        <v/>
      </c>
      <c r="P50" s="6">
        <f>ROUND(M50*J50,0)</f>
        <v/>
      </c>
      <c r="Q50" t="inlineStr">
        <is>
          <t>W8</t>
        </is>
      </c>
      <c r="R50" t="inlineStr">
        <is>
          <t>8 en PB (oficina, baños, servicio, suite, patio) + 6 en PA</t>
        </is>
      </c>
    </row>
    <row r="51">
      <c r="A51" t="inlineStr">
        <is>
          <t>Carpintería en madera</t>
        </is>
      </c>
      <c r="B51" t="inlineStr">
        <is>
          <t>Puerta principal pivotante en teca de 1,40 × 3,00 m</t>
        </is>
      </c>
      <c r="C51" t="inlineStr">
        <is>
          <t>und</t>
        </is>
      </c>
      <c r="D51" s="3" t="n">
        <v>1</v>
      </c>
      <c r="E51" s="4" t="n">
        <v>9000000</v>
      </c>
      <c r="F51" s="4" t="n">
        <v>14000000</v>
      </c>
      <c r="G51" s="4" t="n">
        <v>22000000</v>
      </c>
      <c r="H51" s="9" t="n">
        <v>0.15</v>
      </c>
      <c r="I51" s="9" t="n">
        <v>0.15</v>
      </c>
      <c r="J51" s="9" t="n">
        <v>0.15</v>
      </c>
      <c r="K51" s="6">
        <f>ROUND(D51*E51,0)</f>
        <v/>
      </c>
      <c r="L51" s="6">
        <f>ROUND(D51*F51,0)</f>
        <v/>
      </c>
      <c r="M51" s="6">
        <f>ROUND(D51*G51,0)</f>
        <v/>
      </c>
      <c r="N51" s="6">
        <f>ROUND(K51*H51,0)</f>
        <v/>
      </c>
      <c r="O51" s="6">
        <f>ROUND(L51*I51,0)</f>
        <v/>
      </c>
      <c r="P51" s="6">
        <f>ROUND(M51*J51,0)</f>
        <v/>
      </c>
      <c r="Q51" t="inlineStr">
        <is>
          <t>W4</t>
        </is>
      </c>
      <c r="R51" t="inlineStr">
        <is>
          <t>1,40 × 3,00 m en teca</t>
        </is>
      </c>
    </row>
    <row r="52">
      <c r="A52" t="inlineStr">
        <is>
          <t>Carpintería en madera</t>
        </is>
      </c>
      <c r="B52" t="inlineStr">
        <is>
          <t>Muebles de baño flotantes</t>
        </is>
      </c>
      <c r="C52" t="inlineStr">
        <is>
          <t>und</t>
        </is>
      </c>
      <c r="D52" s="3" t="n">
        <v>4</v>
      </c>
      <c r="E52" s="4" t="n">
        <v>1400000</v>
      </c>
      <c r="F52" s="4" t="n">
        <v>2200000</v>
      </c>
      <c r="G52" s="4" t="n">
        <v>3500000</v>
      </c>
      <c r="H52" s="9" t="n">
        <v>0.15</v>
      </c>
      <c r="I52" s="9" t="n">
        <v>0.15</v>
      </c>
      <c r="J52" s="9" t="n">
        <v>0.15</v>
      </c>
      <c r="K52" s="6">
        <f>ROUND(D52*E52,0)</f>
        <v/>
      </c>
      <c r="L52" s="6">
        <f>ROUND(D52*F52,0)</f>
        <v/>
      </c>
      <c r="M52" s="6">
        <f>ROUND(D52*G52,0)</f>
        <v/>
      </c>
      <c r="N52" s="6">
        <f>ROUND(K52*H52,0)</f>
        <v/>
      </c>
      <c r="O52" s="6">
        <f>ROUND(L52*I52,0)</f>
        <v/>
      </c>
      <c r="P52" s="6">
        <f>ROUND(M52*J52,0)</f>
        <v/>
      </c>
      <c r="Q52" t="inlineStr">
        <is>
          <t>W14</t>
        </is>
      </c>
      <c r="R52" t="inlineStr">
        <is>
          <t>vanity doble del principal, compartido, social y servicio</t>
        </is>
      </c>
    </row>
    <row r="53">
      <c r="A53" t="inlineStr">
        <is>
          <t>Carpintería en madera</t>
        </is>
      </c>
      <c r="B53" t="inlineStr">
        <is>
          <t>Mesones en porcelánico o cuarzo</t>
        </is>
      </c>
      <c r="C53" t="inlineStr">
        <is>
          <t>ml</t>
        </is>
      </c>
      <c r="D53" s="3" t="n">
        <v>7.7</v>
      </c>
      <c r="E53" s="4" t="n">
        <v>900000</v>
      </c>
      <c r="F53" s="4" t="n">
        <v>1300000</v>
      </c>
      <c r="G53" s="4" t="n">
        <v>2000000</v>
      </c>
      <c r="H53" s="9" t="n">
        <v>0.2</v>
      </c>
      <c r="I53" s="9" t="n">
        <v>0.2</v>
      </c>
      <c r="J53" s="9" t="n">
        <v>0.2</v>
      </c>
      <c r="K53" s="6">
        <f>ROUND(D53*E53,0)</f>
        <v/>
      </c>
      <c r="L53" s="6">
        <f>ROUND(D53*F53,0)</f>
        <v/>
      </c>
      <c r="M53" s="6">
        <f>ROUND(D53*G53,0)</f>
        <v/>
      </c>
      <c r="N53" s="6">
        <f>ROUND(K53*H53,0)</f>
        <v/>
      </c>
      <c r="O53" s="6">
        <f>ROUND(L53*I53,0)</f>
        <v/>
      </c>
      <c r="P53" s="6">
        <f>ROUND(M53*J53,0)</f>
        <v/>
      </c>
      <c r="Q53" t="inlineStr">
        <is>
          <t>W16</t>
        </is>
      </c>
      <c r="R53" t="inlineStr">
        <is>
          <t>cocina (isla y posterior) y lavandería</t>
        </is>
      </c>
    </row>
    <row r="54">
      <c r="A54" t="inlineStr">
        <is>
          <t>Ventanería, vidrios y barandas</t>
        </is>
      </c>
      <c r="B54" t="inlineStr">
        <is>
          <t>Ventanería de aluminio negro con vidrio de control solar</t>
        </is>
      </c>
      <c r="C54" t="inlineStr">
        <is>
          <t>m²</t>
        </is>
      </c>
      <c r="D54" s="3" t="n">
        <v>111.05</v>
      </c>
      <c r="E54" s="4" t="n">
        <v>650000</v>
      </c>
      <c r="F54" s="4" t="n">
        <v>900000</v>
      </c>
      <c r="G54" s="4" t="n">
        <v>1300000</v>
      </c>
      <c r="H54" s="9" t="n">
        <v>0.2</v>
      </c>
      <c r="I54" s="9" t="n">
        <v>0.2</v>
      </c>
      <c r="J54" s="9" t="n">
        <v>0.2</v>
      </c>
      <c r="K54" s="6">
        <f>ROUND(D54*E54,0)</f>
        <v/>
      </c>
      <c r="L54" s="6">
        <f>ROUND(D54*F54,0)</f>
        <v/>
      </c>
      <c r="M54" s="6">
        <f>ROUND(D54*G54,0)</f>
        <v/>
      </c>
      <c r="N54" s="6">
        <f>ROUND(K54*H54,0)</f>
        <v/>
      </c>
      <c r="O54" s="6">
        <f>ROUND(L54*I54,0)</f>
        <v/>
      </c>
      <c r="P54" s="6">
        <f>ROUND(M54*J54,0)</f>
        <v/>
      </c>
      <c r="Q54" t="inlineStr">
        <is>
          <t>W1</t>
        </is>
      </c>
      <c r="R54" t="inlineStr">
        <is>
          <t>ventanales corredizos de piso a techo y ventanas fijas de ambas plantas</t>
        </is>
      </c>
    </row>
    <row r="55">
      <c r="A55" t="inlineStr">
        <is>
          <t>Ventanería, vidrios y barandas</t>
        </is>
      </c>
      <c r="B55" t="inlineStr">
        <is>
          <t>Muro cortina de doble altura en el vestíbulo</t>
        </is>
      </c>
      <c r="C55" t="inlineStr">
        <is>
          <t>m²</t>
        </is>
      </c>
      <c r="D55" s="3" t="n">
        <v>26.3</v>
      </c>
      <c r="E55" s="4" t="n">
        <v>900000</v>
      </c>
      <c r="F55" s="4" t="n">
        <v>1250000</v>
      </c>
      <c r="G55" s="4" t="n">
        <v>1800000</v>
      </c>
      <c r="H55" s="9" t="n">
        <v>0.2</v>
      </c>
      <c r="I55" s="9" t="n">
        <v>0.2</v>
      </c>
      <c r="J55" s="9" t="n">
        <v>0.2</v>
      </c>
      <c r="K55" s="6">
        <f>ROUND(D55*E55,0)</f>
        <v/>
      </c>
      <c r="L55" s="6">
        <f>ROUND(D55*F55,0)</f>
        <v/>
      </c>
      <c r="M55" s="6">
        <f>ROUND(D55*G55,0)</f>
        <v/>
      </c>
      <c r="N55" s="6">
        <f>ROUND(K55*H55,0)</f>
        <v/>
      </c>
      <c r="O55" s="6">
        <f>ROUND(L55*I55,0)</f>
        <v/>
      </c>
      <c r="P55" s="6">
        <f>ROUND(M55*J55,0)</f>
        <v/>
      </c>
      <c r="Q55" t="inlineStr">
        <is>
          <t>W2</t>
        </is>
      </c>
      <c r="R55" t="inlineStr">
        <is>
          <t>doble altura del vestíbulo 5,0×6,1 menos la puerta pivotante</t>
        </is>
      </c>
    </row>
    <row r="56">
      <c r="A56" t="inlineStr">
        <is>
          <t>Ventanería, vidrios y barandas</t>
        </is>
      </c>
      <c r="B56" t="inlineStr">
        <is>
          <t>Barandas de vidrio laminado templado</t>
        </is>
      </c>
      <c r="C56" t="inlineStr">
        <is>
          <t>ml</t>
        </is>
      </c>
      <c r="D56" s="3" t="n">
        <v>52.55</v>
      </c>
      <c r="E56" s="4" t="n">
        <v>900000</v>
      </c>
      <c r="F56" s="4" t="n">
        <v>1300000</v>
      </c>
      <c r="G56" s="4" t="n">
        <v>1900000</v>
      </c>
      <c r="H56" s="9" t="n">
        <v>0.2</v>
      </c>
      <c r="I56" s="9" t="n">
        <v>0.2</v>
      </c>
      <c r="J56" s="9" t="n">
        <v>0.2</v>
      </c>
      <c r="K56" s="6">
        <f>ROUND(D56*E56,0)</f>
        <v/>
      </c>
      <c r="L56" s="6">
        <f>ROUND(D56*F56,0)</f>
        <v/>
      </c>
      <c r="M56" s="6">
        <f>ROUND(D56*G56,0)</f>
        <v/>
      </c>
      <c r="N56" s="6">
        <f>ROUND(K56*H56,0)</f>
        <v/>
      </c>
      <c r="O56" s="6">
        <f>ROUND(L56*I56,0)</f>
        <v/>
      </c>
      <c r="P56" s="6">
        <f>ROUND(M56*J56,0)</f>
        <v/>
      </c>
      <c r="Q56" t="inlineStr">
        <is>
          <t>W3</t>
        </is>
      </c>
      <c r="R56" t="inlineStr">
        <is>
          <t>galería, escalera, balcones, terraza familiar y deck de la piscina</t>
        </is>
      </c>
    </row>
    <row r="57">
      <c r="A57" t="inlineStr">
        <is>
          <t>Ventanería, vidrios y barandas</t>
        </is>
      </c>
      <c r="B57" t="inlineStr">
        <is>
          <t>Divisiones de ducha en vidrio templado</t>
        </is>
      </c>
      <c r="C57" t="inlineStr">
        <is>
          <t>m²</t>
        </is>
      </c>
      <c r="D57" s="3" t="n">
        <v>5.2</v>
      </c>
      <c r="E57" s="4" t="n">
        <v>380000</v>
      </c>
      <c r="F57" s="4" t="n">
        <v>520000</v>
      </c>
      <c r="G57" s="4" t="n">
        <v>750000</v>
      </c>
      <c r="H57" s="9" t="n">
        <v>0.2</v>
      </c>
      <c r="I57" s="9" t="n">
        <v>0.2</v>
      </c>
      <c r="J57" s="9" t="n">
        <v>0.2</v>
      </c>
      <c r="K57" s="6">
        <f>ROUND(D57*E57,0)</f>
        <v/>
      </c>
      <c r="L57" s="6">
        <f>ROUND(D57*F57,0)</f>
        <v/>
      </c>
      <c r="M57" s="6">
        <f>ROUND(D57*G57,0)</f>
        <v/>
      </c>
      <c r="N57" s="6">
        <f>ROUND(K57*H57,0)</f>
        <v/>
      </c>
      <c r="O57" s="6">
        <f>ROUND(L57*I57,0)</f>
        <v/>
      </c>
      <c r="P57" s="6">
        <f>ROUND(M57*J57,0)</f>
        <v/>
      </c>
      <c r="Q57" t="inlineStr">
        <is>
          <t>supuesto</t>
        </is>
      </c>
      <c r="R57" t="inlineStr">
        <is>
          <t>vidrio templado de duchas</t>
        </is>
      </c>
    </row>
    <row r="58">
      <c r="A58" t="inlineStr">
        <is>
          <t>Ventanería, vidrios y barandas</t>
        </is>
      </c>
      <c r="B58" t="inlineStr">
        <is>
          <t>Espejos</t>
        </is>
      </c>
      <c r="C58" t="inlineStr">
        <is>
          <t>m²</t>
        </is>
      </c>
      <c r="D58" s="3" t="n">
        <v>6</v>
      </c>
      <c r="E58" s="4" t="n">
        <v>160000</v>
      </c>
      <c r="F58" s="4" t="n">
        <v>230000</v>
      </c>
      <c r="G58" s="4" t="n">
        <v>340000</v>
      </c>
      <c r="H58" s="9" t="n">
        <v>0.25</v>
      </c>
      <c r="I58" s="9" t="n">
        <v>0.25</v>
      </c>
      <c r="J58" s="9" t="n">
        <v>0.25</v>
      </c>
      <c r="K58" s="6">
        <f>ROUND(D58*E58,0)</f>
        <v/>
      </c>
      <c r="L58" s="6">
        <f>ROUND(D58*F58,0)</f>
        <v/>
      </c>
      <c r="M58" s="6">
        <f>ROUND(D58*G58,0)</f>
        <v/>
      </c>
      <c r="N58" s="6">
        <f>ROUND(K58*H58,0)</f>
        <v/>
      </c>
      <c r="O58" s="6">
        <f>ROUND(L58*I58,0)</f>
        <v/>
      </c>
      <c r="P58" s="6">
        <f>ROUND(M58*J58,0)</f>
        <v/>
      </c>
      <c r="Q58" t="inlineStr">
        <is>
          <t>supuesto</t>
        </is>
      </c>
      <c r="R58" t="inlineStr">
        <is>
          <t>baños y vestier</t>
        </is>
      </c>
    </row>
    <row r="59">
      <c r="A59" t="inlineStr">
        <is>
          <t>Ventanería, vidrios y barandas</t>
        </is>
      </c>
      <c r="B59" t="inlineStr">
        <is>
          <t>Puertas de garaje seccionales motorizadas</t>
        </is>
      </c>
      <c r="C59" t="inlineStr">
        <is>
          <t>und</t>
        </is>
      </c>
      <c r="D59" s="3" t="n">
        <v>2</v>
      </c>
      <c r="E59" s="4" t="n">
        <v>7000000</v>
      </c>
      <c r="F59" s="4" t="n">
        <v>9500000</v>
      </c>
      <c r="G59" s="4" t="n">
        <v>13000000</v>
      </c>
      <c r="H59" s="9" t="n">
        <v>0.15</v>
      </c>
      <c r="I59" s="9" t="n">
        <v>0.15</v>
      </c>
      <c r="J59" s="9" t="n">
        <v>0.15</v>
      </c>
      <c r="K59" s="6">
        <f>ROUND(D59*E59,0)</f>
        <v/>
      </c>
      <c r="L59" s="6">
        <f>ROUND(D59*F59,0)</f>
        <v/>
      </c>
      <c r="M59" s="6">
        <f>ROUND(D59*G59,0)</f>
        <v/>
      </c>
      <c r="N59" s="6">
        <f>ROUND(K59*H59,0)</f>
        <v/>
      </c>
      <c r="O59" s="6">
        <f>ROUND(L59*I59,0)</f>
        <v/>
      </c>
      <c r="P59" s="6">
        <f>ROUND(M59*J59,0)</f>
        <v/>
      </c>
      <c r="Q59" t="inlineStr">
        <is>
          <t>W5</t>
        </is>
      </c>
      <c r="R59" t="inlineStr">
        <is>
          <t>seccionales motorizadas 2,35 × 2,40</t>
        </is>
      </c>
    </row>
    <row r="60">
      <c r="A60" t="inlineStr">
        <is>
          <t>Aparatos sanitarios y griferías</t>
        </is>
      </c>
      <c r="B60" t="inlineStr">
        <is>
          <t>Sanitarios suspendidos con tanque empotrado</t>
        </is>
      </c>
      <c r="C60" t="inlineStr">
        <is>
          <t>und</t>
        </is>
      </c>
      <c r="D60" s="3" t="n">
        <v>4</v>
      </c>
      <c r="E60" s="4" t="n">
        <v>1600000</v>
      </c>
      <c r="F60" s="4" t="n">
        <v>2400000</v>
      </c>
      <c r="G60" s="4" t="n">
        <v>3600000</v>
      </c>
      <c r="H60" s="9" t="n">
        <v>0.15</v>
      </c>
      <c r="I60" s="9" t="n">
        <v>0.15</v>
      </c>
      <c r="J60" s="9" t="n">
        <v>0.15</v>
      </c>
      <c r="K60" s="6">
        <f>ROUND(D60*E60,0)</f>
        <v/>
      </c>
      <c r="L60" s="6">
        <f>ROUND(D60*F60,0)</f>
        <v/>
      </c>
      <c r="M60" s="6">
        <f>ROUND(D60*G60,0)</f>
        <v/>
      </c>
      <c r="N60" s="6">
        <f>ROUND(K60*H60,0)</f>
        <v/>
      </c>
      <c r="O60" s="6">
        <f>ROUND(L60*I60,0)</f>
        <v/>
      </c>
      <c r="P60" s="6">
        <f>ROUND(M60*J60,0)</f>
        <v/>
      </c>
      <c r="Q60" t="inlineStr">
        <is>
          <t>W9</t>
        </is>
      </c>
      <c r="R60" t="inlineStr">
        <is>
          <t>4 baños</t>
        </is>
      </c>
    </row>
    <row r="61">
      <c r="A61" t="inlineStr">
        <is>
          <t>Aparatos sanitarios y griferías</t>
        </is>
      </c>
      <c r="B61" t="inlineStr">
        <is>
          <t>Lavamanos de sobreponer</t>
        </is>
      </c>
      <c r="C61" t="inlineStr">
        <is>
          <t>und</t>
        </is>
      </c>
      <c r="D61" s="3" t="n">
        <v>5</v>
      </c>
      <c r="E61" s="4" t="n">
        <v>350000</v>
      </c>
      <c r="F61" s="4" t="n">
        <v>600000</v>
      </c>
      <c r="G61" s="4" t="n">
        <v>1100000</v>
      </c>
      <c r="H61" s="9" t="n">
        <v>0.1</v>
      </c>
      <c r="I61" s="9" t="n">
        <v>0.1</v>
      </c>
      <c r="J61" s="9" t="n">
        <v>0.1</v>
      </c>
      <c r="K61" s="6">
        <f>ROUND(D61*E61,0)</f>
        <v/>
      </c>
      <c r="L61" s="6">
        <f>ROUND(D61*F61,0)</f>
        <v/>
      </c>
      <c r="M61" s="6">
        <f>ROUND(D61*G61,0)</f>
        <v/>
      </c>
      <c r="N61" s="6">
        <f>ROUND(K61*H61,0)</f>
        <v/>
      </c>
      <c r="O61" s="6">
        <f>ROUND(L61*I61,0)</f>
        <v/>
      </c>
      <c r="P61" s="6">
        <f>ROUND(M61*J61,0)</f>
        <v/>
      </c>
      <c r="Q61" t="inlineStr">
        <is>
          <t>W13</t>
        </is>
      </c>
      <c r="R61" t="inlineStr">
        <is>
          <t>2 en el principal + compartido + social + servicio</t>
        </is>
      </c>
    </row>
    <row r="62">
      <c r="A62" t="inlineStr">
        <is>
          <t>Aparatos sanitarios y griferías</t>
        </is>
      </c>
      <c r="B62" t="inlineStr">
        <is>
          <t>Griferías de lavamanos</t>
        </is>
      </c>
      <c r="C62" t="inlineStr">
        <is>
          <t>und</t>
        </is>
      </c>
      <c r="D62" s="3" t="n">
        <v>5</v>
      </c>
      <c r="E62" s="4" t="n">
        <v>400000</v>
      </c>
      <c r="F62" s="4" t="n">
        <v>750000</v>
      </c>
      <c r="G62" s="4" t="n">
        <v>1400000</v>
      </c>
      <c r="H62" s="9" t="n">
        <v>0.1</v>
      </c>
      <c r="I62" s="9" t="n">
        <v>0.1</v>
      </c>
      <c r="J62" s="9" t="n">
        <v>0.1</v>
      </c>
      <c r="K62" s="6">
        <f>ROUND(D62*E62,0)</f>
        <v/>
      </c>
      <c r="L62" s="6">
        <f>ROUND(D62*F62,0)</f>
        <v/>
      </c>
      <c r="M62" s="6">
        <f>ROUND(D62*G62,0)</f>
        <v/>
      </c>
      <c r="N62" s="6">
        <f>ROUND(K62*H62,0)</f>
        <v/>
      </c>
      <c r="O62" s="6">
        <f>ROUND(L62*I62,0)</f>
        <v/>
      </c>
      <c r="P62" s="6">
        <f>ROUND(M62*J62,0)</f>
        <v/>
      </c>
      <c r="Q62" t="inlineStr">
        <is>
          <t>W10</t>
        </is>
      </c>
      <c r="R62" t="inlineStr">
        <is>
          <t>2 en el principal + compartido + social + servicio</t>
        </is>
      </c>
    </row>
    <row r="63">
      <c r="A63" t="inlineStr">
        <is>
          <t>Aparatos sanitarios y griferías</t>
        </is>
      </c>
      <c r="B63" t="inlineStr">
        <is>
          <t>Duchas completas con regadera tipo lluvia</t>
        </is>
      </c>
      <c r="C63" t="inlineStr">
        <is>
          <t>und</t>
        </is>
      </c>
      <c r="D63" s="3" t="n">
        <v>3</v>
      </c>
      <c r="E63" s="4" t="n">
        <v>1200000</v>
      </c>
      <c r="F63" s="4" t="n">
        <v>2000000</v>
      </c>
      <c r="G63" s="4" t="n">
        <v>3500000</v>
      </c>
      <c r="H63" s="9" t="n">
        <v>0.1</v>
      </c>
      <c r="I63" s="9" t="n">
        <v>0.1</v>
      </c>
      <c r="J63" s="9" t="n">
        <v>0.1</v>
      </c>
      <c r="K63" s="6">
        <f>ROUND(D63*E63,0)</f>
        <v/>
      </c>
      <c r="L63" s="6">
        <f>ROUND(D63*F63,0)</f>
        <v/>
      </c>
      <c r="M63" s="6">
        <f>ROUND(D63*G63,0)</f>
        <v/>
      </c>
      <c r="N63" s="6">
        <f>ROUND(K63*H63,0)</f>
        <v/>
      </c>
      <c r="O63" s="6">
        <f>ROUND(L63*I63,0)</f>
        <v/>
      </c>
      <c r="P63" s="6">
        <f>ROUND(M63*J63,0)</f>
        <v/>
      </c>
      <c r="Q63" t="inlineStr">
        <is>
          <t>W11</t>
        </is>
      </c>
      <c r="R63" t="inlineStr">
        <is>
          <t>principal, compartido y servicio</t>
        </is>
      </c>
    </row>
    <row r="64">
      <c r="A64" t="inlineStr">
        <is>
          <t>Aparatos sanitarios y griferías</t>
        </is>
      </c>
      <c r="B64" t="inlineStr">
        <is>
          <t>Bañera exenta con grifería de piso</t>
        </is>
      </c>
      <c r="C64" t="inlineStr">
        <is>
          <t>und</t>
        </is>
      </c>
      <c r="D64" s="3" t="n">
        <v>1</v>
      </c>
      <c r="E64" s="4" t="n">
        <v>5500000</v>
      </c>
      <c r="F64" s="4" t="n">
        <v>8875000</v>
      </c>
      <c r="G64" s="4" t="n">
        <v>15500000</v>
      </c>
      <c r="H64" s="9" t="n">
        <v>0.08</v>
      </c>
      <c r="I64" s="9" t="n">
        <v>0.08</v>
      </c>
      <c r="J64" s="9" t="n">
        <v>0.08</v>
      </c>
      <c r="K64" s="6">
        <f>ROUND(D64*E64,0)</f>
        <v/>
      </c>
      <c r="L64" s="6">
        <f>ROUND(D64*F64,0)</f>
        <v/>
      </c>
      <c r="M64" s="6">
        <f>ROUND(D64*G64,0)</f>
        <v/>
      </c>
      <c r="N64" s="6">
        <f>ROUND(K64*H64,0)</f>
        <v/>
      </c>
      <c r="O64" s="6">
        <f>ROUND(L64*I64,0)</f>
        <v/>
      </c>
      <c r="P64" s="6">
        <f>ROUND(M64*J64,0)</f>
        <v/>
      </c>
      <c r="Q64" t="inlineStr">
        <is>
          <t>W12 + grifería de piso (2,5 × W10)</t>
        </is>
      </c>
      <c r="R64" t="inlineStr">
        <is>
          <t>exenta 1,70 m con grifería de piso</t>
        </is>
      </c>
    </row>
    <row r="65">
      <c r="A65" t="inlineStr">
        <is>
          <t>Aparatos sanitarios y griferías</t>
        </is>
      </c>
      <c r="B65" t="inlineStr">
        <is>
          <t>Lavaplatos, lavadero y ducha de mascotas con griferías</t>
        </is>
      </c>
      <c r="C65" t="inlineStr">
        <is>
          <t>global</t>
        </is>
      </c>
      <c r="D65" s="3" t="n">
        <v>1</v>
      </c>
      <c r="E65" s="4" t="n">
        <v>2200000</v>
      </c>
      <c r="F65" s="4" t="n">
        <v>3600000</v>
      </c>
      <c r="G65" s="4" t="n">
        <v>6000000</v>
      </c>
      <c r="H65" s="9" t="n">
        <v>0.1</v>
      </c>
      <c r="I65" s="9" t="n">
        <v>0.1</v>
      </c>
      <c r="J65" s="9" t="n">
        <v>0.1</v>
      </c>
      <c r="K65" s="6">
        <f>ROUND(D65*E65,0)</f>
        <v/>
      </c>
      <c r="L65" s="6">
        <f>ROUND(D65*F65,0)</f>
        <v/>
      </c>
      <c r="M65" s="6">
        <f>ROUND(D65*G65,0)</f>
        <v/>
      </c>
      <c r="N65" s="6">
        <f>ROUND(K65*H65,0)</f>
        <v/>
      </c>
      <c r="O65" s="6">
        <f>ROUND(L65*I65,0)</f>
        <v/>
      </c>
      <c r="P65" s="6">
        <f>ROUND(M65*J65,0)</f>
        <v/>
      </c>
      <c r="Q65" t="inlineStr">
        <is>
          <t>supuesto</t>
        </is>
      </c>
      <c r="R65" t="inlineStr"/>
    </row>
    <row r="66">
      <c r="A66" t="inlineStr">
        <is>
          <t>Aparatos sanitarios y griferías</t>
        </is>
      </c>
      <c r="B66" t="inlineStr">
        <is>
          <t>Accesorios de baño</t>
        </is>
      </c>
      <c r="C66" t="inlineStr">
        <is>
          <t>baño</t>
        </is>
      </c>
      <c r="D66" s="3" t="n">
        <v>4</v>
      </c>
      <c r="E66" s="4" t="n">
        <v>450000</v>
      </c>
      <c r="F66" s="4" t="n">
        <v>800000</v>
      </c>
      <c r="G66" s="4" t="n">
        <v>1400000</v>
      </c>
      <c r="H66" s="9" t="n">
        <v>0.1</v>
      </c>
      <c r="I66" s="9" t="n">
        <v>0.1</v>
      </c>
      <c r="J66" s="9" t="n">
        <v>0.1</v>
      </c>
      <c r="K66" s="6">
        <f>ROUND(D66*E66,0)</f>
        <v/>
      </c>
      <c r="L66" s="6">
        <f>ROUND(D66*F66,0)</f>
        <v/>
      </c>
      <c r="M66" s="6">
        <f>ROUND(D66*G66,0)</f>
        <v/>
      </c>
      <c r="N66" s="6">
        <f>ROUND(K66*H66,0)</f>
        <v/>
      </c>
      <c r="O66" s="6">
        <f>ROUND(L66*I66,0)</f>
        <v/>
      </c>
      <c r="P66" s="6">
        <f>ROUND(M66*J66,0)</f>
        <v/>
      </c>
      <c r="Q66" t="inlineStr">
        <is>
          <t>supuesto</t>
        </is>
      </c>
      <c r="R66" t="inlineStr"/>
    </row>
    <row r="67">
      <c r="A67" t="inlineStr">
        <is>
          <t>Piscina y espejos de agua</t>
        </is>
      </c>
      <c r="B67" t="inlineStr">
        <is>
          <t>Piscina de borde infinito: vaso, impermeabilización, mosaico y canal de rebose</t>
        </is>
      </c>
      <c r="C67" t="inlineStr">
        <is>
          <t>m²</t>
        </is>
      </c>
      <c r="D67" s="3" t="n">
        <v>60</v>
      </c>
      <c r="E67" s="4" t="n">
        <v>2200000</v>
      </c>
      <c r="F67" s="4" t="n">
        <v>3000000</v>
      </c>
      <c r="G67" s="4" t="n">
        <v>4200000</v>
      </c>
      <c r="H67" s="9" t="n">
        <v>0.35</v>
      </c>
      <c r="I67" s="9" t="n">
        <v>0.35</v>
      </c>
      <c r="J67" s="9" t="n">
        <v>0.35</v>
      </c>
      <c r="K67" s="6">
        <f>ROUND(D67*E67,0)</f>
        <v/>
      </c>
      <c r="L67" s="6">
        <f>ROUND(D67*F67,0)</f>
        <v/>
      </c>
      <c r="M67" s="6">
        <f>ROUND(D67*G67,0)</f>
        <v/>
      </c>
      <c r="N67" s="6">
        <f>ROUND(K67*H67,0)</f>
        <v/>
      </c>
      <c r="O67" s="6">
        <f>ROUND(L67*I67,0)</f>
        <v/>
      </c>
      <c r="P67" s="6">
        <f>ROUND(M67*J67,0)</f>
        <v/>
      </c>
      <c r="Q67" t="inlineStr">
        <is>
          <t>P1</t>
        </is>
      </c>
      <c r="R67" t="inlineStr">
        <is>
          <t>lámina de agua 15 × 4 m, profundidad 1,40 m, borde infinito al sur</t>
        </is>
      </c>
    </row>
    <row r="68">
      <c r="A68" t="inlineStr">
        <is>
          <t>Piscina y espejos de agua</t>
        </is>
      </c>
      <c r="B68" t="inlineStr">
        <is>
          <t>Equipo de filtración y bombeo</t>
        </is>
      </c>
      <c r="C68" t="inlineStr">
        <is>
          <t>global</t>
        </is>
      </c>
      <c r="D68" s="3" t="n">
        <v>1</v>
      </c>
      <c r="E68" s="4" t="n">
        <v>12000000</v>
      </c>
      <c r="F68" s="4" t="n">
        <v>18000000</v>
      </c>
      <c r="G68" s="4" t="n">
        <v>28000000</v>
      </c>
      <c r="H68" s="9" t="n">
        <v>0.15</v>
      </c>
      <c r="I68" s="9" t="n">
        <v>0.15</v>
      </c>
      <c r="J68" s="9" t="n">
        <v>0.15</v>
      </c>
      <c r="K68" s="6">
        <f>ROUND(D68*E68,0)</f>
        <v/>
      </c>
      <c r="L68" s="6">
        <f>ROUND(D68*F68,0)</f>
        <v/>
      </c>
      <c r="M68" s="6">
        <f>ROUND(D68*G68,0)</f>
        <v/>
      </c>
      <c r="N68" s="6">
        <f>ROUND(K68*H68,0)</f>
        <v/>
      </c>
      <c r="O68" s="6">
        <f>ROUND(L68*I68,0)</f>
        <v/>
      </c>
      <c r="P68" s="6">
        <f>ROUND(M68*J68,0)</f>
        <v/>
      </c>
      <c r="Q68" t="inlineStr">
        <is>
          <t>P2</t>
        </is>
      </c>
      <c r="R68" t="inlineStr"/>
    </row>
    <row r="69">
      <c r="A69" t="inlineStr">
        <is>
          <t>Piscina y espejos de agua</t>
        </is>
      </c>
      <c r="B69" t="inlineStr">
        <is>
          <t>Iluminación LED subacuática</t>
        </is>
      </c>
      <c r="C69" t="inlineStr">
        <is>
          <t>global</t>
        </is>
      </c>
      <c r="D69" s="3" t="n">
        <v>1</v>
      </c>
      <c r="E69" s="4" t="n">
        <v>3000000</v>
      </c>
      <c r="F69" s="4" t="n">
        <v>5000000</v>
      </c>
      <c r="G69" s="4" t="n">
        <v>8000000</v>
      </c>
      <c r="H69" s="9" t="n">
        <v>0.15</v>
      </c>
      <c r="I69" s="9" t="n">
        <v>0.15</v>
      </c>
      <c r="J69" s="9" t="n">
        <v>0.15</v>
      </c>
      <c r="K69" s="6">
        <f>ROUND(D69*E69,0)</f>
        <v/>
      </c>
      <c r="L69" s="6">
        <f>ROUND(D69*F69,0)</f>
        <v/>
      </c>
      <c r="M69" s="6">
        <f>ROUND(D69*G69,0)</f>
        <v/>
      </c>
      <c r="N69" s="6">
        <f>ROUND(K69*H69,0)</f>
        <v/>
      </c>
      <c r="O69" s="6">
        <f>ROUND(L69*I69,0)</f>
        <v/>
      </c>
      <c r="P69" s="6">
        <f>ROUND(M69*J69,0)</f>
        <v/>
      </c>
      <c r="Q69" t="inlineStr">
        <is>
          <t>P3</t>
        </is>
      </c>
      <c r="R69" t="inlineStr"/>
    </row>
    <row r="70">
      <c r="A70" t="inlineStr">
        <is>
          <t>Piscina y espejos de agua</t>
        </is>
      </c>
      <c r="B70" t="inlineStr">
        <is>
          <t>Espejos de agua de la entrada</t>
        </is>
      </c>
      <c r="C70" t="inlineStr">
        <is>
          <t>m²</t>
        </is>
      </c>
      <c r="D70" s="3" t="n">
        <v>30.8</v>
      </c>
      <c r="E70" s="4" t="n">
        <v>900000</v>
      </c>
      <c r="F70" s="4" t="n">
        <v>1300000</v>
      </c>
      <c r="G70" s="4" t="n">
        <v>1900000</v>
      </c>
      <c r="H70" s="9" t="n">
        <v>0.35</v>
      </c>
      <c r="I70" s="9" t="n">
        <v>0.35</v>
      </c>
      <c r="J70" s="9" t="n">
        <v>0.35</v>
      </c>
      <c r="K70" s="6">
        <f>ROUND(D70*E70,0)</f>
        <v/>
      </c>
      <c r="L70" s="6">
        <f>ROUND(D70*F70,0)</f>
        <v/>
      </c>
      <c r="M70" s="6">
        <f>ROUND(D70*G70,0)</f>
        <v/>
      </c>
      <c r="N70" s="6">
        <f>ROUND(K70*H70,0)</f>
        <v/>
      </c>
      <c r="O70" s="6">
        <f>ROUND(L70*I70,0)</f>
        <v/>
      </c>
      <c r="P70" s="6">
        <f>ROUND(M70*J70,0)</f>
        <v/>
      </c>
      <c r="Q70" t="inlineStr">
        <is>
          <t>P5</t>
        </is>
      </c>
      <c r="R70" t="inlineStr">
        <is>
          <t>dos espejos de agua de la entrada</t>
        </is>
      </c>
    </row>
    <row r="71">
      <c r="A71" t="inlineStr">
        <is>
          <t>Energía solar</t>
        </is>
      </c>
      <c r="B71" t="inlineStr">
        <is>
          <t>Sistema fotovoltaico de 9,9 kWp conectado a red</t>
        </is>
      </c>
      <c r="C71" t="inlineStr">
        <is>
          <t>kWp</t>
        </is>
      </c>
      <c r="D71" s="3" t="n">
        <v>9.9</v>
      </c>
      <c r="E71" s="4" t="n">
        <v>3400000</v>
      </c>
      <c r="F71" s="4" t="n">
        <v>4000000</v>
      </c>
      <c r="G71" s="4" t="n">
        <v>4700000</v>
      </c>
      <c r="H71" s="9" t="n">
        <v>0.15</v>
      </c>
      <c r="I71" s="9" t="n">
        <v>0.15</v>
      </c>
      <c r="J71" s="9" t="n">
        <v>0.15</v>
      </c>
      <c r="K71" s="6">
        <f>ROUND(D71*E71,0)</f>
        <v/>
      </c>
      <c r="L71" s="6">
        <f>ROUND(D71*F71,0)</f>
        <v/>
      </c>
      <c r="M71" s="6">
        <f>ROUND(D71*G71,0)</f>
        <v/>
      </c>
      <c r="N71" s="6">
        <f>ROUND(K71*H71,0)</f>
        <v/>
      </c>
      <c r="O71" s="6">
        <f>ROUND(L71*I71,0)</f>
        <v/>
      </c>
      <c r="P71" s="6">
        <f>ROUND(M71*J71,0)</f>
        <v/>
      </c>
      <c r="Q71" t="inlineStr">
        <is>
          <t>M9</t>
        </is>
      </c>
      <c r="R71" t="inlineStr">
        <is>
          <t>18 paneles de 550 W</t>
        </is>
      </c>
    </row>
    <row r="72">
      <c r="A72" t="inlineStr">
        <is>
          <t>Energía solar</t>
        </is>
      </c>
      <c r="B72" t="inlineStr">
        <is>
          <t>Batería de litio de respaldo</t>
        </is>
      </c>
      <c r="C72" t="inlineStr">
        <is>
          <t>kWh</t>
        </is>
      </c>
      <c r="D72" s="3" t="n">
        <v>10</v>
      </c>
      <c r="E72" s="4" t="n">
        <v>1600000</v>
      </c>
      <c r="F72" s="4" t="n">
        <v>2200000</v>
      </c>
      <c r="G72" s="4" t="n">
        <v>3000000</v>
      </c>
      <c r="H72" s="9" t="n">
        <v>0.05</v>
      </c>
      <c r="I72" s="9" t="n">
        <v>0.05</v>
      </c>
      <c r="J72" s="9" t="n">
        <v>0.05</v>
      </c>
      <c r="K72" s="6">
        <f>ROUND(D72*E72,0)</f>
        <v/>
      </c>
      <c r="L72" s="6">
        <f>ROUND(D72*F72,0)</f>
        <v/>
      </c>
      <c r="M72" s="6">
        <f>ROUND(D72*G72,0)</f>
        <v/>
      </c>
      <c r="N72" s="6">
        <f>ROUND(K72*H72,0)</f>
        <v/>
      </c>
      <c r="O72" s="6">
        <f>ROUND(L72*I72,0)</f>
        <v/>
      </c>
      <c r="P72" s="6">
        <f>ROUND(M72*J72,0)</f>
        <v/>
      </c>
      <c r="Q72" t="inlineStr">
        <is>
          <t>M10</t>
        </is>
      </c>
      <c r="R72" t="inlineStr">
        <is>
          <t>respaldo de nevera, internet y luces</t>
        </is>
      </c>
    </row>
    <row r="73">
      <c r="A73" t="inlineStr">
        <is>
          <t>Energía solar</t>
        </is>
      </c>
      <c r="B73" t="inlineStr">
        <is>
          <t>Mayor valor del inversor híbrido frente al de red</t>
        </is>
      </c>
      <c r="C73" t="inlineStr">
        <is>
          <t>und</t>
        </is>
      </c>
      <c r="D73" s="3" t="n">
        <v>1</v>
      </c>
      <c r="E73" s="4" t="n">
        <v>4500000</v>
      </c>
      <c r="F73" s="4" t="n">
        <v>6000000</v>
      </c>
      <c r="G73" s="4" t="n">
        <v>8000000</v>
      </c>
      <c r="H73" s="9" t="n">
        <v>0.05</v>
      </c>
      <c r="I73" s="9" t="n">
        <v>0.05</v>
      </c>
      <c r="J73" s="9" t="n">
        <v>0.05</v>
      </c>
      <c r="K73" s="6">
        <f>ROUND(D73*E73,0)</f>
        <v/>
      </c>
      <c r="L73" s="6">
        <f>ROUND(D73*F73,0)</f>
        <v/>
      </c>
      <c r="M73" s="6">
        <f>ROUND(D73*G73,0)</f>
        <v/>
      </c>
      <c r="N73" s="6">
        <f>ROUND(K73*H73,0)</f>
        <v/>
      </c>
      <c r="O73" s="6">
        <f>ROUND(L73*I73,0)</f>
        <v/>
      </c>
      <c r="P73" s="6">
        <f>ROUND(M73*J73,0)</f>
        <v/>
      </c>
      <c r="Q73" t="inlineStr">
        <is>
          <t>50 % de M11</t>
        </is>
      </c>
      <c r="R73" t="inlineStr"/>
    </row>
    <row r="74">
      <c r="A74" t="inlineStr">
        <is>
          <t>Exteriores y paisajismo</t>
        </is>
      </c>
      <c r="B74" t="inlineStr">
        <is>
          <t>Travertino en el deck de la piscina</t>
        </is>
      </c>
      <c r="C74" t="inlineStr">
        <is>
          <t>m²</t>
        </is>
      </c>
      <c r="D74" s="3" t="n">
        <v>81.5</v>
      </c>
      <c r="E74" s="4" t="n">
        <v>210000</v>
      </c>
      <c r="F74" s="4" t="n">
        <v>285000</v>
      </c>
      <c r="G74" s="4" t="n">
        <v>420000</v>
      </c>
      <c r="H74" s="9" t="n">
        <v>0.3</v>
      </c>
      <c r="I74" s="9" t="n">
        <v>0.3</v>
      </c>
      <c r="J74" s="9" t="n">
        <v>0.3</v>
      </c>
      <c r="K74" s="6">
        <f>ROUND(D74*E74,0)</f>
        <v/>
      </c>
      <c r="L74" s="6">
        <f>ROUND(D74*F74,0)</f>
        <v/>
      </c>
      <c r="M74" s="6">
        <f>ROUND(D74*G74,0)</f>
        <v/>
      </c>
      <c r="N74" s="6">
        <f>ROUND(K74*H74,0)</f>
        <v/>
      </c>
      <c r="O74" s="6">
        <f>ROUND(L74*I74,0)</f>
        <v/>
      </c>
      <c r="P74" s="6">
        <f>ROUND(M74*J74,0)</f>
        <v/>
      </c>
      <c r="Q74" t="inlineStr">
        <is>
          <t>F9</t>
        </is>
      </c>
      <c r="R74" t="inlineStr">
        <is>
          <t>deck norte, oeste y este de la piscina + remates del vaso</t>
        </is>
      </c>
    </row>
    <row r="75">
      <c r="A75" t="inlineStr">
        <is>
          <t>Exteriores y paisajismo</t>
        </is>
      </c>
      <c r="B75" t="inlineStr">
        <is>
          <t>Losetas de concreto con junta verde en el acceso vehicular</t>
        </is>
      </c>
      <c r="C75" t="inlineStr">
        <is>
          <t>m²</t>
        </is>
      </c>
      <c r="D75" s="3" t="n">
        <v>38.5</v>
      </c>
      <c r="E75" s="4" t="n">
        <v>60000</v>
      </c>
      <c r="F75" s="4" t="n">
        <v>85000</v>
      </c>
      <c r="G75" s="4" t="n">
        <v>120000</v>
      </c>
      <c r="H75" s="9" t="n">
        <v>0.35</v>
      </c>
      <c r="I75" s="9" t="n">
        <v>0.35</v>
      </c>
      <c r="J75" s="9" t="n">
        <v>0.35</v>
      </c>
      <c r="K75" s="6">
        <f>ROUND(D75*E75,0)</f>
        <v/>
      </c>
      <c r="L75" s="6">
        <f>ROUND(D75*F75,0)</f>
        <v/>
      </c>
      <c r="M75" s="6">
        <f>ROUND(D75*G75,0)</f>
        <v/>
      </c>
      <c r="N75" s="6">
        <f>ROUND(K75*H75,0)</f>
        <v/>
      </c>
      <c r="O75" s="6">
        <f>ROUND(L75*I75,0)</f>
        <v/>
      </c>
      <c r="P75" s="6">
        <f>ROUND(M75*J75,0)</f>
        <v/>
      </c>
      <c r="Q75" t="inlineStr">
        <is>
          <t>P10</t>
        </is>
      </c>
      <c r="R75" t="inlineStr">
        <is>
          <t>acceso vehicular 5,5 × 7 m</t>
        </is>
      </c>
    </row>
    <row r="76">
      <c r="A76" t="inlineStr">
        <is>
          <t>Exteriores y paisajismo</t>
        </is>
      </c>
      <c r="B76" t="inlineStr">
        <is>
          <t>Sendero flotante en concreto con LED</t>
        </is>
      </c>
      <c r="C76" t="inlineStr">
        <is>
          <t>m²</t>
        </is>
      </c>
      <c r="D76" s="3" t="n">
        <v>10.5</v>
      </c>
      <c r="E76" s="4" t="n">
        <v>255650</v>
      </c>
      <c r="F76" s="4" t="n">
        <v>304600</v>
      </c>
      <c r="G76" s="4" t="n">
        <v>374000</v>
      </c>
      <c r="H76" s="9" t="n">
        <v>0.35</v>
      </c>
      <c r="I76" s="9" t="n">
        <v>0.35</v>
      </c>
      <c r="J76" s="9" t="n">
        <v>0.35</v>
      </c>
      <c r="K76" s="6">
        <f>ROUND(D76*E76,0)</f>
        <v/>
      </c>
      <c r="L76" s="6">
        <f>ROUND(D76*F76,0)</f>
        <v/>
      </c>
      <c r="M76" s="6">
        <f>ROUND(D76*G76,0)</f>
        <v/>
      </c>
      <c r="N76" s="6">
        <f>ROUND(K76*H76,0)</f>
        <v/>
      </c>
      <c r="O76" s="6">
        <f>ROUND(L76*I76,0)</f>
        <v/>
      </c>
      <c r="P76" s="6">
        <f>ROUND(M76*J76,0)</f>
        <v/>
      </c>
      <c r="Q76" t="inlineStr">
        <is>
          <t>0,15 m³ de concreto G1 + 12 kg de acero instalado + formaleta + $60.000 de LED por m² (supuesto)</t>
        </is>
      </c>
      <c r="R76" t="inlineStr">
        <is>
          <t>sendero peatonal flotante sobre el espejo de agua</t>
        </is>
      </c>
    </row>
    <row r="77">
      <c r="A77" t="inlineStr">
        <is>
          <t>Exteriores y paisajismo</t>
        </is>
      </c>
      <c r="B77" t="inlineStr">
        <is>
          <t>Grama</t>
        </is>
      </c>
      <c r="C77" t="inlineStr">
        <is>
          <t>m²</t>
        </is>
      </c>
      <c r="D77" s="3" t="n">
        <v>210</v>
      </c>
      <c r="E77" s="4" t="n">
        <v>20000</v>
      </c>
      <c r="F77" s="4" t="n">
        <v>28000</v>
      </c>
      <c r="G77" s="4" t="n">
        <v>40000</v>
      </c>
      <c r="H77" s="9" t="n">
        <v>0.4</v>
      </c>
      <c r="I77" s="9" t="n">
        <v>0.4</v>
      </c>
      <c r="J77" s="9" t="n">
        <v>0.4</v>
      </c>
      <c r="K77" s="6">
        <f>ROUND(D77*E77,0)</f>
        <v/>
      </c>
      <c r="L77" s="6">
        <f>ROUND(D77*F77,0)</f>
        <v/>
      </c>
      <c r="M77" s="6">
        <f>ROUND(D77*G77,0)</f>
        <v/>
      </c>
      <c r="N77" s="6">
        <f>ROUND(K77*H77,0)</f>
        <v/>
      </c>
      <c r="O77" s="6">
        <f>ROUND(L77*I77,0)</f>
        <v/>
      </c>
      <c r="P77" s="6">
        <f>ROUND(M77*J77,0)</f>
        <v/>
      </c>
      <c r="Q77" t="inlineStr">
        <is>
          <t>P6</t>
        </is>
      </c>
      <c r="R77" t="inlineStr">
        <is>
          <t>lote 641,7 m² menos huella, decks, piscina, accesos, espejos de agua y jardineras</t>
        </is>
      </c>
    </row>
    <row r="78">
      <c r="A78" t="inlineStr">
        <is>
          <t>Exteriores y paisajismo</t>
        </is>
      </c>
      <c r="B78" t="inlineStr">
        <is>
          <t>Palmas sembradas de 6 a 7 m</t>
        </is>
      </c>
      <c r="C78" t="inlineStr">
        <is>
          <t>und</t>
        </is>
      </c>
      <c r="D78" s="3" t="n">
        <v>8</v>
      </c>
      <c r="E78" s="4" t="n">
        <v>1200000</v>
      </c>
      <c r="F78" s="4" t="n">
        <v>2000000</v>
      </c>
      <c r="G78" s="4" t="n">
        <v>3500000</v>
      </c>
      <c r="H78" s="9" t="n">
        <v>0.3</v>
      </c>
      <c r="I78" s="9" t="n">
        <v>0.3</v>
      </c>
      <c r="J78" s="9" t="n">
        <v>0.3</v>
      </c>
      <c r="K78" s="6">
        <f>ROUND(D78*E78,0)</f>
        <v/>
      </c>
      <c r="L78" s="6">
        <f>ROUND(D78*F78,0)</f>
        <v/>
      </c>
      <c r="M78" s="6">
        <f>ROUND(D78*G78,0)</f>
        <v/>
      </c>
      <c r="N78" s="6">
        <f>ROUND(K78*H78,0)</f>
        <v/>
      </c>
      <c r="O78" s="6">
        <f>ROUND(L78*I78,0)</f>
        <v/>
      </c>
      <c r="P78" s="6">
        <f>ROUND(M78*J78,0)</f>
        <v/>
      </c>
      <c r="Q78" t="inlineStr">
        <is>
          <t>P7</t>
        </is>
      </c>
      <c r="R78" t="inlineStr"/>
    </row>
    <row r="79">
      <c r="A79" t="inlineStr">
        <is>
          <t>Exteriores y paisajismo</t>
        </is>
      </c>
      <c r="B79" t="inlineStr">
        <is>
          <t>Guayacanes sembrados</t>
        </is>
      </c>
      <c r="C79" t="inlineStr">
        <is>
          <t>und</t>
        </is>
      </c>
      <c r="D79" s="3" t="n">
        <v>2</v>
      </c>
      <c r="E79" s="4" t="n">
        <v>800000</v>
      </c>
      <c r="F79" s="4" t="n">
        <v>1500000</v>
      </c>
      <c r="G79" s="4" t="n">
        <v>2500000</v>
      </c>
      <c r="H79" s="9" t="n">
        <v>0.3</v>
      </c>
      <c r="I79" s="9" t="n">
        <v>0.3</v>
      </c>
      <c r="J79" s="9" t="n">
        <v>0.3</v>
      </c>
      <c r="K79" s="6">
        <f>ROUND(D79*E79,0)</f>
        <v/>
      </c>
      <c r="L79" s="6">
        <f>ROUND(D79*F79,0)</f>
        <v/>
      </c>
      <c r="M79" s="6">
        <f>ROUND(D79*G79,0)</f>
        <v/>
      </c>
      <c r="N79" s="6">
        <f>ROUND(K79*H79,0)</f>
        <v/>
      </c>
      <c r="O79" s="6">
        <f>ROUND(L79*I79,0)</f>
        <v/>
      </c>
      <c r="P79" s="6">
        <f>ROUND(M79*J79,0)</f>
        <v/>
      </c>
      <c r="Q79" t="inlineStr">
        <is>
          <t>P8</t>
        </is>
      </c>
      <c r="R79" t="inlineStr">
        <is>
          <t>guayacanes amarillos dentro del lote</t>
        </is>
      </c>
    </row>
    <row r="80">
      <c r="A80" t="inlineStr">
        <is>
          <t>Exteriores y paisajismo</t>
        </is>
      </c>
      <c r="B80" t="inlineStr">
        <is>
          <t>Setos de lindero</t>
        </is>
      </c>
      <c r="C80" t="inlineStr">
        <is>
          <t>ml</t>
        </is>
      </c>
      <c r="D80" s="3" t="n">
        <v>67</v>
      </c>
      <c r="E80" s="4" t="n">
        <v>35000</v>
      </c>
      <c r="F80" s="4" t="n">
        <v>55000</v>
      </c>
      <c r="G80" s="4" t="n">
        <v>80000</v>
      </c>
      <c r="H80" s="9" t="n">
        <v>0.3</v>
      </c>
      <c r="I80" s="9" t="n">
        <v>0.3</v>
      </c>
      <c r="J80" s="9" t="n">
        <v>0.3</v>
      </c>
      <c r="K80" s="6">
        <f>ROUND(D80*E80,0)</f>
        <v/>
      </c>
      <c r="L80" s="6">
        <f>ROUND(D80*F80,0)</f>
        <v/>
      </c>
      <c r="M80" s="6">
        <f>ROUND(D80*G80,0)</f>
        <v/>
      </c>
      <c r="N80" s="6">
        <f>ROUND(K80*H80,0)</f>
        <v/>
      </c>
      <c r="O80" s="6">
        <f>ROUND(L80*I80,0)</f>
        <v/>
      </c>
      <c r="P80" s="6">
        <f>ROUND(M80*J80,0)</f>
        <v/>
      </c>
      <c r="Q80" t="inlineStr">
        <is>
          <t>P9</t>
        </is>
      </c>
      <c r="R80" t="inlineStr">
        <is>
          <t>linderos laterales y frente</t>
        </is>
      </c>
    </row>
    <row r="81">
      <c r="A81" t="inlineStr">
        <is>
          <t>Exteriores y paisajismo</t>
        </is>
      </c>
      <c r="B81" t="inlineStr">
        <is>
          <t>Muro bajo frontal en coralina</t>
        </is>
      </c>
      <c r="C81" t="inlineStr">
        <is>
          <t>ml</t>
        </is>
      </c>
      <c r="D81" s="3" t="n">
        <v>16.7</v>
      </c>
      <c r="E81" s="4" t="n">
        <v>218241</v>
      </c>
      <c r="F81" s="4" t="n">
        <v>279825</v>
      </c>
      <c r="G81" s="4" t="n">
        <v>384176</v>
      </c>
      <c r="H81" s="9" t="n">
        <v>0.4</v>
      </c>
      <c r="I81" s="9" t="n">
        <v>0.4</v>
      </c>
      <c r="J81" s="9" t="n">
        <v>0.4</v>
      </c>
      <c r="K81" s="6">
        <f>ROUND(D81*E81,0)</f>
        <v/>
      </c>
      <c r="L81" s="6">
        <f>ROUND(D81*F81,0)</f>
        <v/>
      </c>
      <c r="M81" s="6">
        <f>ROUND(D81*G81,0)</f>
        <v/>
      </c>
      <c r="N81" s="6">
        <f>ROUND(K81*H81,0)</f>
        <v/>
      </c>
      <c r="O81" s="6">
        <f>ROUND(L81*I81,0)</f>
        <v/>
      </c>
      <c r="P81" s="6">
        <f>ROUND(M81*J81,0)</f>
        <v/>
      </c>
      <c r="Q81" t="inlineStr">
        <is>
          <t>dos caras de 0,45 m de coralina (F4) sobre núcleo de bloque</t>
        </is>
      </c>
      <c r="R81" t="inlineStr">
        <is>
          <t>muro bajo en coralina, h = 0,45 m</t>
        </is>
      </c>
    </row>
    <row r="82">
      <c r="A82" t="inlineStr">
        <is>
          <t>Exteriores y paisajismo</t>
        </is>
      </c>
      <c r="B82" t="inlineStr">
        <is>
          <t>Patio de mascotas: casa de dos niveles, rampa y cerca</t>
        </is>
      </c>
      <c r="C82" t="inlineStr">
        <is>
          <t>global</t>
        </is>
      </c>
      <c r="D82" s="3" t="n">
        <v>1</v>
      </c>
      <c r="E82" s="4" t="n">
        <v>6500000</v>
      </c>
      <c r="F82" s="4" t="n">
        <v>9500000</v>
      </c>
      <c r="G82" s="4" t="n">
        <v>14000000</v>
      </c>
      <c r="H82" s="9" t="n">
        <v>0.45</v>
      </c>
      <c r="I82" s="9" t="n">
        <v>0.45</v>
      </c>
      <c r="J82" s="9" t="n">
        <v>0.45</v>
      </c>
      <c r="K82" s="6">
        <f>ROUND(D82*E82,0)</f>
        <v/>
      </c>
      <c r="L82" s="6">
        <f>ROUND(D82*F82,0)</f>
        <v/>
      </c>
      <c r="M82" s="6">
        <f>ROUND(D82*G82,0)</f>
        <v/>
      </c>
      <c r="N82" s="6">
        <f>ROUND(K82*H82,0)</f>
        <v/>
      </c>
      <c r="O82" s="6">
        <f>ROUND(L82*I82,0)</f>
        <v/>
      </c>
      <c r="P82" s="6">
        <f>ROUND(M82*J82,0)</f>
        <v/>
      </c>
      <c r="Q82" t="inlineStr">
        <is>
          <t>supuesto</t>
        </is>
      </c>
      <c r="R82" t="inlineStr"/>
    </row>
    <row r="83">
      <c r="A83" t="inlineStr">
        <is>
          <t>Exteriores y paisajismo</t>
        </is>
      </c>
      <c r="B83" t="inlineStr">
        <is>
          <t>Portones de los patios</t>
        </is>
      </c>
      <c r="C83" t="inlineStr">
        <is>
          <t>global</t>
        </is>
      </c>
      <c r="D83" s="3" t="n">
        <v>1</v>
      </c>
      <c r="E83" s="4" t="n">
        <v>1800000</v>
      </c>
      <c r="F83" s="4" t="n">
        <v>2800000</v>
      </c>
      <c r="G83" s="4" t="n">
        <v>4200000</v>
      </c>
      <c r="H83" s="9" t="n">
        <v>0.3</v>
      </c>
      <c r="I83" s="9" t="n">
        <v>0.3</v>
      </c>
      <c r="J83" s="9" t="n">
        <v>0.3</v>
      </c>
      <c r="K83" s="6">
        <f>ROUND(D83*E83,0)</f>
        <v/>
      </c>
      <c r="L83" s="6">
        <f>ROUND(D83*F83,0)</f>
        <v/>
      </c>
      <c r="M83" s="6">
        <f>ROUND(D83*G83,0)</f>
        <v/>
      </c>
      <c r="N83" s="6">
        <f>ROUND(K83*H83,0)</f>
        <v/>
      </c>
      <c r="O83" s="6">
        <f>ROUND(L83*I83,0)</f>
        <v/>
      </c>
      <c r="P83" s="6">
        <f>ROUND(M83*J83,0)</f>
        <v/>
      </c>
      <c r="Q83" t="inlineStr">
        <is>
          <t>supuesto</t>
        </is>
      </c>
      <c r="R83" t="inlineStr"/>
    </row>
    <row r="84">
      <c r="A84" t="inlineStr">
        <is>
          <t>Acometidas y aseo final</t>
        </is>
      </c>
      <c r="B84" t="inlineStr">
        <is>
          <t>Acometida y conexión eléctrica con Air-e</t>
        </is>
      </c>
      <c r="C84" t="inlineStr">
        <is>
          <t>global</t>
        </is>
      </c>
      <c r="D84" s="3" t="n">
        <v>1</v>
      </c>
      <c r="E84" s="4" t="n">
        <v>4000000</v>
      </c>
      <c r="F84" s="4" t="n">
        <v>6000000</v>
      </c>
      <c r="G84" s="4" t="n">
        <v>9000000</v>
      </c>
      <c r="H84" s="9" t="n">
        <v>0.4</v>
      </c>
      <c r="I84" s="9" t="n">
        <v>0.4</v>
      </c>
      <c r="J84" s="9" t="n">
        <v>0.4</v>
      </c>
      <c r="K84" s="6">
        <f>ROUND(D84*E84,0)</f>
        <v/>
      </c>
      <c r="L84" s="6">
        <f>ROUND(D84*F84,0)</f>
        <v/>
      </c>
      <c r="M84" s="6">
        <f>ROUND(D84*G84,0)</f>
        <v/>
      </c>
      <c r="N84" s="6">
        <f>ROUND(K84*H84,0)</f>
        <v/>
      </c>
      <c r="O84" s="6">
        <f>ROUND(L84*I84,0)</f>
        <v/>
      </c>
      <c r="P84" s="6">
        <f>ROUND(M84*J84,0)</f>
        <v/>
      </c>
      <c r="Q84" t="inlineStr">
        <is>
          <t>M13</t>
        </is>
      </c>
      <c r="R84" t="inlineStr"/>
    </row>
    <row r="85">
      <c r="A85" t="inlineStr">
        <is>
          <t>Acometidas y aseo final</t>
        </is>
      </c>
      <c r="B85" t="inlineStr">
        <is>
          <t>Acometida de acueducto y alcantarillado con Triple A</t>
        </is>
      </c>
      <c r="C85" t="inlineStr">
        <is>
          <t>global</t>
        </is>
      </c>
      <c r="D85" s="3" t="n">
        <v>1</v>
      </c>
      <c r="E85" s="4" t="n">
        <v>2500000</v>
      </c>
      <c r="F85" s="4" t="n">
        <v>4000000</v>
      </c>
      <c r="G85" s="4" t="n">
        <v>6000000</v>
      </c>
      <c r="H85" s="9" t="n">
        <v>0.4</v>
      </c>
      <c r="I85" s="9" t="n">
        <v>0.4</v>
      </c>
      <c r="J85" s="9" t="n">
        <v>0.4</v>
      </c>
      <c r="K85" s="6">
        <f>ROUND(D85*E85,0)</f>
        <v/>
      </c>
      <c r="L85" s="6">
        <f>ROUND(D85*F85,0)</f>
        <v/>
      </c>
      <c r="M85" s="6">
        <f>ROUND(D85*G85,0)</f>
        <v/>
      </c>
      <c r="N85" s="6">
        <f>ROUND(K85*H85,0)</f>
        <v/>
      </c>
      <c r="O85" s="6">
        <f>ROUND(L85*I85,0)</f>
        <v/>
      </c>
      <c r="P85" s="6">
        <f>ROUND(M85*J85,0)</f>
        <v/>
      </c>
      <c r="Q85" t="inlineStr">
        <is>
          <t>M14</t>
        </is>
      </c>
      <c r="R85" t="inlineStr"/>
    </row>
    <row r="86">
      <c r="A86" t="inlineStr">
        <is>
          <t>Acometidas y aseo final</t>
        </is>
      </c>
      <c r="B86" t="inlineStr">
        <is>
          <t>Aseo final y entrega</t>
        </is>
      </c>
      <c r="C86" t="inlineStr">
        <is>
          <t>m²</t>
        </is>
      </c>
      <c r="D86" s="3" t="n">
        <v>251.44</v>
      </c>
      <c r="E86" s="4" t="n">
        <v>6080</v>
      </c>
      <c r="F86" s="4" t="n">
        <v>7630</v>
      </c>
      <c r="G86" s="4" t="n">
        <v>10422</v>
      </c>
      <c r="H86" s="9" t="n">
        <v>0.9</v>
      </c>
      <c r="I86" s="9" t="n">
        <v>0.9</v>
      </c>
      <c r="J86" s="9" t="n">
        <v>0.9</v>
      </c>
      <c r="K86" s="6">
        <f>ROUND(D86*E86,0)</f>
        <v/>
      </c>
      <c r="L86" s="6">
        <f>ROUND(D86*F86,0)</f>
        <v/>
      </c>
      <c r="M86" s="6">
        <f>ROUND(D86*G86,0)</f>
        <v/>
      </c>
      <c r="N86" s="6">
        <f>ROUND(K86*H86,0)</f>
        <v/>
      </c>
      <c r="O86" s="6">
        <f>ROUND(L86*I86,0)</f>
        <v/>
      </c>
      <c r="P86" s="6">
        <f>ROUND(M86*J86,0)</f>
        <v/>
      </c>
      <c r="Q86" t="inlineStr">
        <is>
          <t>0,03 jornales de cuadrilla por m² (L3, L4, L5)</t>
        </is>
      </c>
      <c r="R86" t="inlineStr">
        <is>
          <t>PB 159.8 + PA 91.64</t>
        </is>
      </c>
    </row>
    <row r="87">
      <c r="B87" s="14" t="inlineStr">
        <is>
          <t>Costo directo total</t>
        </is>
      </c>
      <c r="K87" s="15">
        <f>SUM(K5:K86)</f>
        <v/>
      </c>
      <c r="L87" s="15">
        <f>SUM(L5:L86)</f>
        <v/>
      </c>
      <c r="M87" s="15">
        <f>SUM(M5:M86)</f>
        <v/>
      </c>
      <c r="N87" s="15">
        <f>SUM(N5:N86)</f>
        <v/>
      </c>
      <c r="O87" s="15">
        <f>SUM(O5:O86)</f>
        <v/>
      </c>
      <c r="P87" s="15">
        <f>SUM(P5:P86)</f>
        <v/>
      </c>
    </row>
  </sheetData>
  <autoFilter ref="A4:R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" customWidth="1" min="2" max="2"/>
    <col width="16" customWidth="1" min="3" max="3"/>
    <col width="16" customWidth="1" min="4" max="4"/>
    <col width="16" customWidth="1" min="5" max="5"/>
    <col width="16" customWidth="1" min="6" max="6"/>
    <col width="10" customWidth="1" min="7" max="7"/>
    <col width="12" customWidth="1" min="8" max="8"/>
  </cols>
  <sheetData>
    <row r="1">
      <c r="A1" s="13" t="inlineStr">
        <is>
          <t>Capítulo</t>
        </is>
      </c>
      <c r="B1" s="13" t="inlineStr"/>
      <c r="C1" s="13" t="inlineStr">
        <is>
          <t>Total bajo</t>
        </is>
      </c>
      <c r="D1" s="13" t="inlineStr">
        <is>
          <t>Total medio</t>
        </is>
      </c>
      <c r="E1" s="13" t="inlineStr">
        <is>
          <t>Total alto</t>
        </is>
      </c>
      <c r="F1" s="13" t="inlineStr">
        <is>
          <t>MO medio</t>
        </is>
      </c>
      <c r="G1" s="13" t="inlineStr">
        <is>
          <t>% MO medio</t>
        </is>
      </c>
      <c r="H1" s="13" t="inlineStr">
        <is>
          <t>% del costo directo (medio)</t>
        </is>
      </c>
    </row>
    <row r="2">
      <c r="A2" t="inlineStr">
        <is>
          <t>Preliminares y obra provisional</t>
        </is>
      </c>
      <c r="C2" s="6">
        <f>SUMIF(Partidas!$A$5:$A$86,$A2,Partidas!K$5:K$86)</f>
        <v/>
      </c>
      <c r="D2" s="6">
        <f>SUMIF(Partidas!$A$5:$A$86,$A2,Partidas!L$5:L$86)</f>
        <v/>
      </c>
      <c r="E2" s="6">
        <f>SUMIF(Partidas!$A$5:$A$86,$A2,Partidas!M$5:M$86)</f>
        <v/>
      </c>
      <c r="F2" s="6">
        <f>SUMIF(Partidas!$A$5:$A$86,$A2,Partidas!O$5:O$86)</f>
        <v/>
      </c>
      <c r="G2" s="9">
        <f>F2/D2</f>
        <v/>
      </c>
      <c r="H2" s="9">
        <f>D2/Partidas!$L$87</f>
        <v/>
      </c>
    </row>
    <row r="3">
      <c r="A3" t="inlineStr">
        <is>
          <t>Movimiento de tierras y cimentación</t>
        </is>
      </c>
      <c r="C3" s="6">
        <f>SUMIF(Partidas!$A$5:$A$86,$A3,Partidas!K$5:K$86)</f>
        <v/>
      </c>
      <c r="D3" s="6">
        <f>SUMIF(Partidas!$A$5:$A$86,$A3,Partidas!L$5:L$86)</f>
        <v/>
      </c>
      <c r="E3" s="6">
        <f>SUMIF(Partidas!$A$5:$A$86,$A3,Partidas!M$5:M$86)</f>
        <v/>
      </c>
      <c r="F3" s="6">
        <f>SUMIF(Partidas!$A$5:$A$86,$A3,Partidas!O$5:O$86)</f>
        <v/>
      </c>
      <c r="G3" s="9">
        <f>F3/D3</f>
        <v/>
      </c>
      <c r="H3" s="9">
        <f>D3/Partidas!$L$87</f>
        <v/>
      </c>
    </row>
    <row r="4">
      <c r="A4" t="inlineStr">
        <is>
          <t>Estructura en concreto</t>
        </is>
      </c>
      <c r="C4" s="6">
        <f>SUMIF(Partidas!$A$5:$A$86,$A4,Partidas!K$5:K$86)</f>
        <v/>
      </c>
      <c r="D4" s="6">
        <f>SUMIF(Partidas!$A$5:$A$86,$A4,Partidas!L$5:L$86)</f>
        <v/>
      </c>
      <c r="E4" s="6">
        <f>SUMIF(Partidas!$A$5:$A$86,$A4,Partidas!M$5:M$86)</f>
        <v/>
      </c>
      <c r="F4" s="6">
        <f>SUMIF(Partidas!$A$5:$A$86,$A4,Partidas!O$5:O$86)</f>
        <v/>
      </c>
      <c r="G4" s="9">
        <f>F4/D4</f>
        <v/>
      </c>
      <c r="H4" s="9">
        <f>D4/Partidas!$L$87</f>
        <v/>
      </c>
    </row>
    <row r="5">
      <c r="A5" t="inlineStr">
        <is>
          <t>Mampostería</t>
        </is>
      </c>
      <c r="C5" s="6">
        <f>SUMIF(Partidas!$A$5:$A$86,$A5,Partidas!K$5:K$86)</f>
        <v/>
      </c>
      <c r="D5" s="6">
        <f>SUMIF(Partidas!$A$5:$A$86,$A5,Partidas!L$5:L$86)</f>
        <v/>
      </c>
      <c r="E5" s="6">
        <f>SUMIF(Partidas!$A$5:$A$86,$A5,Partidas!M$5:M$86)</f>
        <v/>
      </c>
      <c r="F5" s="6">
        <f>SUMIF(Partidas!$A$5:$A$86,$A5,Partidas!O$5:O$86)</f>
        <v/>
      </c>
      <c r="G5" s="9">
        <f>F5/D5</f>
        <v/>
      </c>
      <c r="H5" s="9">
        <f>D5/Partidas!$L$87</f>
        <v/>
      </c>
    </row>
    <row r="6">
      <c r="A6" t="inlineStr">
        <is>
          <t>Pañetes, estucos y pinturas</t>
        </is>
      </c>
      <c r="C6" s="6">
        <f>SUMIF(Partidas!$A$5:$A$86,$A6,Partidas!K$5:K$86)</f>
        <v/>
      </c>
      <c r="D6" s="6">
        <f>SUMIF(Partidas!$A$5:$A$86,$A6,Partidas!L$5:L$86)</f>
        <v/>
      </c>
      <c r="E6" s="6">
        <f>SUMIF(Partidas!$A$5:$A$86,$A6,Partidas!M$5:M$86)</f>
        <v/>
      </c>
      <c r="F6" s="6">
        <f>SUMIF(Partidas!$A$5:$A$86,$A6,Partidas!O$5:O$86)</f>
        <v/>
      </c>
      <c r="G6" s="9">
        <f>F6/D6</f>
        <v/>
      </c>
      <c r="H6" s="9">
        <f>D6/Partidas!$L$87</f>
        <v/>
      </c>
    </row>
    <row r="7">
      <c r="A7" t="inlineStr">
        <is>
          <t>Pisos y enchapes</t>
        </is>
      </c>
      <c r="C7" s="6">
        <f>SUMIF(Partidas!$A$5:$A$86,$A7,Partidas!K$5:K$86)</f>
        <v/>
      </c>
      <c r="D7" s="6">
        <f>SUMIF(Partidas!$A$5:$A$86,$A7,Partidas!L$5:L$86)</f>
        <v/>
      </c>
      <c r="E7" s="6">
        <f>SUMIF(Partidas!$A$5:$A$86,$A7,Partidas!M$5:M$86)</f>
        <v/>
      </c>
      <c r="F7" s="6">
        <f>SUMIF(Partidas!$A$5:$A$86,$A7,Partidas!O$5:O$86)</f>
        <v/>
      </c>
      <c r="G7" s="9">
        <f>F7/D7</f>
        <v/>
      </c>
      <c r="H7" s="9">
        <f>D7/Partidas!$L$87</f>
        <v/>
      </c>
    </row>
    <row r="8">
      <c r="A8" t="inlineStr">
        <is>
          <t>Fachadas y madera</t>
        </is>
      </c>
      <c r="C8" s="6">
        <f>SUMIF(Partidas!$A$5:$A$86,$A8,Partidas!K$5:K$86)</f>
        <v/>
      </c>
      <c r="D8" s="6">
        <f>SUMIF(Partidas!$A$5:$A$86,$A8,Partidas!L$5:L$86)</f>
        <v/>
      </c>
      <c r="E8" s="6">
        <f>SUMIF(Partidas!$A$5:$A$86,$A8,Partidas!M$5:M$86)</f>
        <v/>
      </c>
      <c r="F8" s="6">
        <f>SUMIF(Partidas!$A$5:$A$86,$A8,Partidas!O$5:O$86)</f>
        <v/>
      </c>
      <c r="G8" s="9">
        <f>F8/D8</f>
        <v/>
      </c>
      <c r="H8" s="9">
        <f>D8/Partidas!$L$87</f>
        <v/>
      </c>
    </row>
    <row r="9">
      <c r="A9" t="inlineStr">
        <is>
          <t>Cubiertas, impermeabilización y decks</t>
        </is>
      </c>
      <c r="C9" s="6">
        <f>SUMIF(Partidas!$A$5:$A$86,$A9,Partidas!K$5:K$86)</f>
        <v/>
      </c>
      <c r="D9" s="6">
        <f>SUMIF(Partidas!$A$5:$A$86,$A9,Partidas!L$5:L$86)</f>
        <v/>
      </c>
      <c r="E9" s="6">
        <f>SUMIF(Partidas!$A$5:$A$86,$A9,Partidas!M$5:M$86)</f>
        <v/>
      </c>
      <c r="F9" s="6">
        <f>SUMIF(Partidas!$A$5:$A$86,$A9,Partidas!O$5:O$86)</f>
        <v/>
      </c>
      <c r="G9" s="9">
        <f>F9/D9</f>
        <v/>
      </c>
      <c r="H9" s="9">
        <f>D9/Partidas!$L$87</f>
        <v/>
      </c>
    </row>
    <row r="10">
      <c r="A10" t="inlineStr">
        <is>
          <t>Instalaciones hidrosanitarias y gas</t>
        </is>
      </c>
      <c r="C10" s="6">
        <f>SUMIF(Partidas!$A$5:$A$86,$A10,Partidas!K$5:K$86)</f>
        <v/>
      </c>
      <c r="D10" s="6">
        <f>SUMIF(Partidas!$A$5:$A$86,$A10,Partidas!L$5:L$86)</f>
        <v/>
      </c>
      <c r="E10" s="6">
        <f>SUMIF(Partidas!$A$5:$A$86,$A10,Partidas!M$5:M$86)</f>
        <v/>
      </c>
      <c r="F10" s="6">
        <f>SUMIF(Partidas!$A$5:$A$86,$A10,Partidas!O$5:O$86)</f>
        <v/>
      </c>
      <c r="G10" s="9">
        <f>F10/D10</f>
        <v/>
      </c>
      <c r="H10" s="9">
        <f>D10/Partidas!$L$87</f>
        <v/>
      </c>
    </row>
    <row r="11">
      <c r="A11" t="inlineStr">
        <is>
          <t>Instalaciones eléctricas y datos</t>
        </is>
      </c>
      <c r="C11" s="6">
        <f>SUMIF(Partidas!$A$5:$A$86,$A11,Partidas!K$5:K$86)</f>
        <v/>
      </c>
      <c r="D11" s="6">
        <f>SUMIF(Partidas!$A$5:$A$86,$A11,Partidas!L$5:L$86)</f>
        <v/>
      </c>
      <c r="E11" s="6">
        <f>SUMIF(Partidas!$A$5:$A$86,$A11,Partidas!M$5:M$86)</f>
        <v/>
      </c>
      <c r="F11" s="6">
        <f>SUMIF(Partidas!$A$5:$A$86,$A11,Partidas!O$5:O$86)</f>
        <v/>
      </c>
      <c r="G11" s="9">
        <f>F11/D11</f>
        <v/>
      </c>
      <c r="H11" s="9">
        <f>D11/Partidas!$L$87</f>
        <v/>
      </c>
    </row>
    <row r="12">
      <c r="A12" t="inlineStr">
        <is>
          <t>Aire acondicionado</t>
        </is>
      </c>
      <c r="C12" s="6">
        <f>SUMIF(Partidas!$A$5:$A$86,$A12,Partidas!K$5:K$86)</f>
        <v/>
      </c>
      <c r="D12" s="6">
        <f>SUMIF(Partidas!$A$5:$A$86,$A12,Partidas!L$5:L$86)</f>
        <v/>
      </c>
      <c r="E12" s="6">
        <f>SUMIF(Partidas!$A$5:$A$86,$A12,Partidas!M$5:M$86)</f>
        <v/>
      </c>
      <c r="F12" s="6">
        <f>SUMIF(Partidas!$A$5:$A$86,$A12,Partidas!O$5:O$86)</f>
        <v/>
      </c>
      <c r="G12" s="9">
        <f>F12/D12</f>
        <v/>
      </c>
      <c r="H12" s="9">
        <f>D12/Partidas!$L$87</f>
        <v/>
      </c>
    </row>
    <row r="13">
      <c r="A13" t="inlineStr">
        <is>
          <t>Carpintería en madera</t>
        </is>
      </c>
      <c r="C13" s="6">
        <f>SUMIF(Partidas!$A$5:$A$86,$A13,Partidas!K$5:K$86)</f>
        <v/>
      </c>
      <c r="D13" s="6">
        <f>SUMIF(Partidas!$A$5:$A$86,$A13,Partidas!L$5:L$86)</f>
        <v/>
      </c>
      <c r="E13" s="6">
        <f>SUMIF(Partidas!$A$5:$A$86,$A13,Partidas!M$5:M$86)</f>
        <v/>
      </c>
      <c r="F13" s="6">
        <f>SUMIF(Partidas!$A$5:$A$86,$A13,Partidas!O$5:O$86)</f>
        <v/>
      </c>
      <c r="G13" s="9">
        <f>F13/D13</f>
        <v/>
      </c>
      <c r="H13" s="9">
        <f>D13/Partidas!$L$87</f>
        <v/>
      </c>
    </row>
    <row r="14">
      <c r="A14" t="inlineStr">
        <is>
          <t>Ventanería, vidrios y barandas</t>
        </is>
      </c>
      <c r="C14" s="6">
        <f>SUMIF(Partidas!$A$5:$A$86,$A14,Partidas!K$5:K$86)</f>
        <v/>
      </c>
      <c r="D14" s="6">
        <f>SUMIF(Partidas!$A$5:$A$86,$A14,Partidas!L$5:L$86)</f>
        <v/>
      </c>
      <c r="E14" s="6">
        <f>SUMIF(Partidas!$A$5:$A$86,$A14,Partidas!M$5:M$86)</f>
        <v/>
      </c>
      <c r="F14" s="6">
        <f>SUMIF(Partidas!$A$5:$A$86,$A14,Partidas!O$5:O$86)</f>
        <v/>
      </c>
      <c r="G14" s="9">
        <f>F14/D14</f>
        <v/>
      </c>
      <c r="H14" s="9">
        <f>D14/Partidas!$L$87</f>
        <v/>
      </c>
    </row>
    <row r="15">
      <c r="A15" t="inlineStr">
        <is>
          <t>Aparatos sanitarios y griferías</t>
        </is>
      </c>
      <c r="C15" s="6">
        <f>SUMIF(Partidas!$A$5:$A$86,$A15,Partidas!K$5:K$86)</f>
        <v/>
      </c>
      <c r="D15" s="6">
        <f>SUMIF(Partidas!$A$5:$A$86,$A15,Partidas!L$5:L$86)</f>
        <v/>
      </c>
      <c r="E15" s="6">
        <f>SUMIF(Partidas!$A$5:$A$86,$A15,Partidas!M$5:M$86)</f>
        <v/>
      </c>
      <c r="F15" s="6">
        <f>SUMIF(Partidas!$A$5:$A$86,$A15,Partidas!O$5:O$86)</f>
        <v/>
      </c>
      <c r="G15" s="9">
        <f>F15/D15</f>
        <v/>
      </c>
      <c r="H15" s="9">
        <f>D15/Partidas!$L$87</f>
        <v/>
      </c>
    </row>
    <row r="16">
      <c r="A16" t="inlineStr">
        <is>
          <t>Piscina y espejos de agua</t>
        </is>
      </c>
      <c r="C16" s="6">
        <f>SUMIF(Partidas!$A$5:$A$86,$A16,Partidas!K$5:K$86)</f>
        <v/>
      </c>
      <c r="D16" s="6">
        <f>SUMIF(Partidas!$A$5:$A$86,$A16,Partidas!L$5:L$86)</f>
        <v/>
      </c>
      <c r="E16" s="6">
        <f>SUMIF(Partidas!$A$5:$A$86,$A16,Partidas!M$5:M$86)</f>
        <v/>
      </c>
      <c r="F16" s="6">
        <f>SUMIF(Partidas!$A$5:$A$86,$A16,Partidas!O$5:O$86)</f>
        <v/>
      </c>
      <c r="G16" s="9">
        <f>F16/D16</f>
        <v/>
      </c>
      <c r="H16" s="9">
        <f>D16/Partidas!$L$87</f>
        <v/>
      </c>
    </row>
    <row r="17">
      <c r="A17" t="inlineStr">
        <is>
          <t>Energía solar</t>
        </is>
      </c>
      <c r="C17" s="6">
        <f>SUMIF(Partidas!$A$5:$A$86,$A17,Partidas!K$5:K$86)</f>
        <v/>
      </c>
      <c r="D17" s="6">
        <f>SUMIF(Partidas!$A$5:$A$86,$A17,Partidas!L$5:L$86)</f>
        <v/>
      </c>
      <c r="E17" s="6">
        <f>SUMIF(Partidas!$A$5:$A$86,$A17,Partidas!M$5:M$86)</f>
        <v/>
      </c>
      <c r="F17" s="6">
        <f>SUMIF(Partidas!$A$5:$A$86,$A17,Partidas!O$5:O$86)</f>
        <v/>
      </c>
      <c r="G17" s="9">
        <f>F17/D17</f>
        <v/>
      </c>
      <c r="H17" s="9">
        <f>D17/Partidas!$L$87</f>
        <v/>
      </c>
    </row>
    <row r="18">
      <c r="A18" t="inlineStr">
        <is>
          <t>Exteriores y paisajismo</t>
        </is>
      </c>
      <c r="C18" s="6">
        <f>SUMIF(Partidas!$A$5:$A$86,$A18,Partidas!K$5:K$86)</f>
        <v/>
      </c>
      <c r="D18" s="6">
        <f>SUMIF(Partidas!$A$5:$A$86,$A18,Partidas!L$5:L$86)</f>
        <v/>
      </c>
      <c r="E18" s="6">
        <f>SUMIF(Partidas!$A$5:$A$86,$A18,Partidas!M$5:M$86)</f>
        <v/>
      </c>
      <c r="F18" s="6">
        <f>SUMIF(Partidas!$A$5:$A$86,$A18,Partidas!O$5:O$86)</f>
        <v/>
      </c>
      <c r="G18" s="9">
        <f>F18/D18</f>
        <v/>
      </c>
      <c r="H18" s="9">
        <f>D18/Partidas!$L$87</f>
        <v/>
      </c>
    </row>
    <row r="19">
      <c r="A19" t="inlineStr">
        <is>
          <t>Acometidas y aseo final</t>
        </is>
      </c>
      <c r="C19" s="6">
        <f>SUMIF(Partidas!$A$5:$A$86,$A19,Partidas!K$5:K$86)</f>
        <v/>
      </c>
      <c r="D19" s="6">
        <f>SUMIF(Partidas!$A$5:$A$86,$A19,Partidas!L$5:L$86)</f>
        <v/>
      </c>
      <c r="E19" s="6">
        <f>SUMIF(Partidas!$A$5:$A$86,$A19,Partidas!M$5:M$86)</f>
        <v/>
      </c>
      <c r="F19" s="6">
        <f>SUMIF(Partidas!$A$5:$A$86,$A19,Partidas!O$5:O$86)</f>
        <v/>
      </c>
      <c r="G19" s="9">
        <f>F19/D19</f>
        <v/>
      </c>
      <c r="H19" s="9">
        <f>D19/Partidas!$L$87</f>
        <v/>
      </c>
    </row>
    <row r="20">
      <c r="A20" s="14" t="inlineStr">
        <is>
          <t>Total</t>
        </is>
      </c>
      <c r="C20" s="15">
        <f>SUM(C2:C19)</f>
        <v/>
      </c>
      <c r="D20" s="15">
        <f>SUM(D2:D19)</f>
        <v/>
      </c>
      <c r="E20" s="15">
        <f>SUM(E2:E19)</f>
        <v/>
      </c>
      <c r="F20" s="15">
        <f>SUM(F2:F19)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36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8" customWidth="1" min="4" max="4"/>
    <col width="9" customWidth="1" min="5" max="5"/>
    <col width="11" customWidth="1" min="6" max="6"/>
    <col width="11" customWidth="1" min="7" max="7"/>
    <col width="8" customWidth="1" min="8" max="8"/>
    <col width="8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</cols>
  <sheetData>
    <row r="1">
      <c r="A1" s="12" t="inlineStr">
        <is>
          <t>Cronograma de Casa Brisa · semana 0 = 2026-11-02 · 70 semanas</t>
        </is>
      </c>
    </row>
    <row r="2">
      <c r="A2" t="inlineStr">
        <is>
          <t>Edite la semana de inicio o la duración (amarillo): las barras se redibujan. Las fechas no reprograman las sucesoras; para eso, cronograma.py.</t>
        </is>
      </c>
    </row>
    <row r="3">
      <c r="J3" s="16" t="inlineStr">
        <is>
          <t>Nov 26</t>
        </is>
      </c>
      <c r="K3" s="16" t="n"/>
      <c r="L3" s="16" t="n"/>
      <c r="M3" s="16" t="n"/>
      <c r="N3" s="16" t="n"/>
      <c r="O3" s="16" t="inlineStr">
        <is>
          <t>Dec 26</t>
        </is>
      </c>
      <c r="P3" s="16" t="n"/>
      <c r="Q3" s="16" t="n"/>
      <c r="R3" s="16" t="n"/>
      <c r="S3" s="16" t="inlineStr">
        <is>
          <t>Jan 27</t>
        </is>
      </c>
      <c r="T3" s="16" t="n"/>
      <c r="U3" s="16" t="n"/>
      <c r="V3" s="16" t="n"/>
      <c r="W3" s="16" t="inlineStr">
        <is>
          <t>Feb 27</t>
        </is>
      </c>
      <c r="X3" s="16" t="n"/>
      <c r="Y3" s="16" t="n"/>
      <c r="Z3" s="16" t="n"/>
      <c r="AA3" s="16" t="inlineStr">
        <is>
          <t>Mar 27</t>
        </is>
      </c>
      <c r="AB3" s="16" t="n"/>
      <c r="AC3" s="16" t="n"/>
      <c r="AD3" s="16" t="n"/>
      <c r="AE3" s="16" t="n"/>
      <c r="AF3" s="16" t="inlineStr">
        <is>
          <t>Apr 27</t>
        </is>
      </c>
      <c r="AG3" s="16" t="n"/>
      <c r="AH3" s="16" t="n"/>
      <c r="AI3" s="16" t="n"/>
      <c r="AJ3" s="16" t="inlineStr">
        <is>
          <t>May 27</t>
        </is>
      </c>
      <c r="AK3" s="16" t="n"/>
      <c r="AL3" s="16" t="n"/>
      <c r="AM3" s="16" t="n"/>
      <c r="AN3" s="16" t="n"/>
      <c r="AO3" s="16" t="inlineStr">
        <is>
          <t>Jun 27</t>
        </is>
      </c>
      <c r="AP3" s="16" t="n"/>
      <c r="AQ3" s="16" t="n"/>
      <c r="AR3" s="16" t="n"/>
      <c r="AS3" s="16" t="inlineStr">
        <is>
          <t>Jul 27</t>
        </is>
      </c>
      <c r="AT3" s="16" t="n"/>
      <c r="AU3" s="16" t="n"/>
      <c r="AV3" s="16" t="n"/>
      <c r="AW3" s="16" t="inlineStr">
        <is>
          <t>Aug 27</t>
        </is>
      </c>
      <c r="AX3" s="16" t="n"/>
      <c r="AY3" s="16" t="n"/>
      <c r="AZ3" s="16" t="n"/>
      <c r="BA3" s="16" t="n"/>
      <c r="BB3" s="16" t="inlineStr">
        <is>
          <t>Sep 27</t>
        </is>
      </c>
      <c r="BC3" s="16" t="n"/>
      <c r="BD3" s="16" t="n"/>
      <c r="BE3" s="16" t="n"/>
      <c r="BF3" s="16" t="inlineStr">
        <is>
          <t>Oct 27</t>
        </is>
      </c>
      <c r="BG3" s="16" t="n"/>
      <c r="BH3" s="16" t="n"/>
      <c r="BI3" s="16" t="n"/>
      <c r="BJ3" s="16" t="inlineStr">
        <is>
          <t>Nov 27</t>
        </is>
      </c>
      <c r="BK3" s="16" t="n"/>
      <c r="BL3" s="16" t="n"/>
      <c r="BM3" s="16" t="n"/>
      <c r="BN3" s="16" t="n"/>
      <c r="BO3" s="16" t="inlineStr">
        <is>
          <t>Dec 27</t>
        </is>
      </c>
      <c r="BP3" s="16" t="n"/>
      <c r="BQ3" s="16" t="n"/>
      <c r="BR3" s="16" t="n"/>
      <c r="BS3" s="16" t="inlineStr">
        <is>
          <t>Jan 28</t>
        </is>
      </c>
      <c r="BT3" s="16" t="n"/>
      <c r="BU3" s="16" t="n"/>
      <c r="BV3" s="16" t="n"/>
      <c r="BW3" s="16" t="n"/>
      <c r="BX3" s="16" t="inlineStr">
        <is>
          <t>Feb 28</t>
        </is>
      </c>
      <c r="BY3" s="16" t="n"/>
      <c r="BZ3" s="16" t="n"/>
      <c r="CA3" s="16" t="n"/>
    </row>
    <row r="4">
      <c r="A4" s="17" t="inlineStr">
        <is>
          <t>ID</t>
        </is>
      </c>
      <c r="B4" s="17" t="inlineStr">
        <is>
          <t>Actividad</t>
        </is>
      </c>
      <c r="C4" s="17" t="inlineStr">
        <is>
          <t>Fase</t>
        </is>
      </c>
      <c r="D4" s="17" t="inlineStr">
        <is>
          <t>Inicio (sem)</t>
        </is>
      </c>
      <c r="E4" s="17" t="inlineStr">
        <is>
          <t>Duración (sem)</t>
        </is>
      </c>
      <c r="F4" s="17" t="inlineStr">
        <is>
          <t>Fecha inicio</t>
        </is>
      </c>
      <c r="G4" s="17" t="inlineStr">
        <is>
          <t>Fecha fin</t>
        </is>
      </c>
      <c r="H4" s="17" t="inlineStr">
        <is>
          <t>Holgura (sem)</t>
        </is>
      </c>
      <c r="I4" s="17" t="inlineStr">
        <is>
          <t>Ruta crítica</t>
        </is>
      </c>
      <c r="J4" s="18" t="n">
        <v>0</v>
      </c>
      <c r="K4" s="18" t="n">
        <v>1</v>
      </c>
      <c r="L4" s="18" t="n">
        <v>2</v>
      </c>
      <c r="M4" s="18" t="n">
        <v>3</v>
      </c>
      <c r="N4" s="18" t="n">
        <v>4</v>
      </c>
      <c r="O4" s="18" t="n">
        <v>5</v>
      </c>
      <c r="P4" s="18" t="n">
        <v>6</v>
      </c>
      <c r="Q4" s="18" t="n">
        <v>7</v>
      </c>
      <c r="R4" s="18" t="n">
        <v>8</v>
      </c>
      <c r="S4" s="18" t="n">
        <v>9</v>
      </c>
      <c r="T4" s="18" t="n">
        <v>10</v>
      </c>
      <c r="U4" s="18" t="n">
        <v>11</v>
      </c>
      <c r="V4" s="18" t="n">
        <v>12</v>
      </c>
      <c r="W4" s="18" t="n">
        <v>13</v>
      </c>
      <c r="X4" s="18" t="n">
        <v>14</v>
      </c>
      <c r="Y4" s="18" t="n">
        <v>15</v>
      </c>
      <c r="Z4" s="18" t="n">
        <v>16</v>
      </c>
      <c r="AA4" s="18" t="n">
        <v>17</v>
      </c>
      <c r="AB4" s="18" t="n">
        <v>18</v>
      </c>
      <c r="AC4" s="18" t="n">
        <v>19</v>
      </c>
      <c r="AD4" s="18" t="n">
        <v>20</v>
      </c>
      <c r="AE4" s="18" t="n">
        <v>21</v>
      </c>
      <c r="AF4" s="18" t="n">
        <v>22</v>
      </c>
      <c r="AG4" s="18" t="n">
        <v>23</v>
      </c>
      <c r="AH4" s="18" t="n">
        <v>24</v>
      </c>
      <c r="AI4" s="18" t="n">
        <v>25</v>
      </c>
      <c r="AJ4" s="18" t="n">
        <v>26</v>
      </c>
      <c r="AK4" s="18" t="n">
        <v>27</v>
      </c>
      <c r="AL4" s="18" t="n">
        <v>28</v>
      </c>
      <c r="AM4" s="18" t="n">
        <v>29</v>
      </c>
      <c r="AN4" s="18" t="n">
        <v>30</v>
      </c>
      <c r="AO4" s="18" t="n">
        <v>31</v>
      </c>
      <c r="AP4" s="18" t="n">
        <v>32</v>
      </c>
      <c r="AQ4" s="18" t="n">
        <v>33</v>
      </c>
      <c r="AR4" s="18" t="n">
        <v>34</v>
      </c>
      <c r="AS4" s="18" t="n">
        <v>35</v>
      </c>
      <c r="AT4" s="18" t="n">
        <v>36</v>
      </c>
      <c r="AU4" s="18" t="n">
        <v>37</v>
      </c>
      <c r="AV4" s="18" t="n">
        <v>38</v>
      </c>
      <c r="AW4" s="18" t="n">
        <v>39</v>
      </c>
      <c r="AX4" s="18" t="n">
        <v>40</v>
      </c>
      <c r="AY4" s="18" t="n">
        <v>41</v>
      </c>
      <c r="AZ4" s="18" t="n">
        <v>42</v>
      </c>
      <c r="BA4" s="18" t="n">
        <v>43</v>
      </c>
      <c r="BB4" s="18" t="n">
        <v>44</v>
      </c>
      <c r="BC4" s="18" t="n">
        <v>45</v>
      </c>
      <c r="BD4" s="18" t="n">
        <v>46</v>
      </c>
      <c r="BE4" s="18" t="n">
        <v>47</v>
      </c>
      <c r="BF4" s="18" t="n">
        <v>48</v>
      </c>
      <c r="BG4" s="18" t="n">
        <v>49</v>
      </c>
      <c r="BH4" s="18" t="n">
        <v>50</v>
      </c>
      <c r="BI4" s="18" t="n">
        <v>51</v>
      </c>
      <c r="BJ4" s="18" t="n">
        <v>52</v>
      </c>
      <c r="BK4" s="18" t="n">
        <v>53</v>
      </c>
      <c r="BL4" s="18" t="n">
        <v>54</v>
      </c>
      <c r="BM4" s="18" t="n">
        <v>55</v>
      </c>
      <c r="BN4" s="18" t="n">
        <v>56</v>
      </c>
      <c r="BO4" s="18" t="n">
        <v>57</v>
      </c>
      <c r="BP4" s="18" t="n">
        <v>58</v>
      </c>
      <c r="BQ4" s="18" t="n">
        <v>59</v>
      </c>
      <c r="BR4" s="18" t="n">
        <v>60</v>
      </c>
      <c r="BS4" s="18" t="n">
        <v>61</v>
      </c>
      <c r="BT4" s="18" t="n">
        <v>62</v>
      </c>
      <c r="BU4" s="18" t="n">
        <v>63</v>
      </c>
      <c r="BV4" s="18" t="n">
        <v>64</v>
      </c>
      <c r="BW4" s="18" t="n">
        <v>65</v>
      </c>
      <c r="BX4" s="18" t="n">
        <v>66</v>
      </c>
      <c r="BY4" s="18" t="n">
        <v>67</v>
      </c>
      <c r="BZ4" s="18" t="n">
        <v>68</v>
      </c>
      <c r="CA4" s="18" t="n">
        <v>69</v>
      </c>
    </row>
    <row r="5">
      <c r="A5" t="inlineStr">
        <is>
          <t>A1</t>
        </is>
      </c>
      <c r="B5" s="14" t="inlineStr">
        <is>
          <t>Topografía y estudio de suelos</t>
        </is>
      </c>
      <c r="C5" t="inlineStr">
        <is>
          <t>Diseño y licencia</t>
        </is>
      </c>
      <c r="D5" s="3" t="n">
        <v>0</v>
      </c>
      <c r="E5" s="3" t="n">
        <v>3</v>
      </c>
      <c r="F5" s="19">
        <f>DATE(2026,11,2)+7*D5</f>
        <v/>
      </c>
      <c r="G5" s="19">
        <f>F5+7*E5-3</f>
        <v/>
      </c>
      <c r="H5" t="n">
        <v>0</v>
      </c>
      <c r="I5" t="inlineStr">
        <is>
          <t>sí</t>
        </is>
      </c>
      <c r="J5" s="20" t="n"/>
      <c r="K5" s="21" t="n"/>
      <c r="L5" s="21" t="n"/>
      <c r="M5" s="21" t="n"/>
      <c r="N5" s="21" t="n"/>
      <c r="O5" s="20" t="n"/>
      <c r="P5" s="21" t="n"/>
      <c r="Q5" s="21" t="n"/>
      <c r="R5" s="21" t="n"/>
      <c r="S5" s="20" t="n"/>
      <c r="T5" s="21" t="n"/>
      <c r="U5" s="21" t="n"/>
      <c r="V5" s="21" t="n"/>
      <c r="W5" s="20" t="n"/>
      <c r="X5" s="21" t="n"/>
      <c r="Y5" s="21" t="n"/>
      <c r="Z5" s="21" t="n"/>
      <c r="AA5" s="20" t="n"/>
      <c r="AB5" s="21" t="n"/>
      <c r="AC5" s="21" t="n"/>
      <c r="AD5" s="21" t="n"/>
      <c r="AE5" s="21" t="n"/>
      <c r="AF5" s="20" t="n"/>
      <c r="AG5" s="21" t="n"/>
      <c r="AH5" s="21" t="n"/>
      <c r="AI5" s="21" t="n"/>
      <c r="AJ5" s="20" t="n"/>
      <c r="AK5" s="21" t="n"/>
      <c r="AL5" s="21" t="n"/>
      <c r="AM5" s="21" t="n"/>
      <c r="AN5" s="21" t="n"/>
      <c r="AO5" s="20" t="n"/>
      <c r="AP5" s="21" t="n"/>
      <c r="AQ5" s="21" t="n"/>
      <c r="AR5" s="21" t="n"/>
      <c r="AS5" s="20" t="n"/>
      <c r="AT5" s="21" t="n"/>
      <c r="AU5" s="21" t="n"/>
      <c r="AV5" s="21" t="n"/>
      <c r="AW5" s="20" t="n"/>
      <c r="AX5" s="21" t="n"/>
      <c r="AY5" s="21" t="n"/>
      <c r="AZ5" s="21" t="n"/>
      <c r="BA5" s="21" t="n"/>
      <c r="BB5" s="20" t="n"/>
      <c r="BC5" s="21" t="n"/>
      <c r="BD5" s="21" t="n"/>
      <c r="BE5" s="21" t="n"/>
      <c r="BF5" s="20" t="n"/>
      <c r="BG5" s="21" t="n"/>
      <c r="BH5" s="21" t="n"/>
      <c r="BI5" s="21" t="n"/>
      <c r="BJ5" s="20" t="n"/>
      <c r="BK5" s="21" t="n"/>
      <c r="BL5" s="21" t="n"/>
      <c r="BM5" s="21" t="n"/>
      <c r="BN5" s="21" t="n"/>
      <c r="BO5" s="20" t="n"/>
      <c r="BP5" s="21" t="n"/>
      <c r="BQ5" s="21" t="n"/>
      <c r="BR5" s="21" t="n"/>
      <c r="BS5" s="20" t="n"/>
      <c r="BT5" s="21" t="n"/>
      <c r="BU5" s="21" t="n"/>
      <c r="BV5" s="21" t="n"/>
      <c r="BW5" s="21" t="n"/>
      <c r="BX5" s="20" t="n"/>
      <c r="BY5" s="21" t="n"/>
      <c r="BZ5" s="21" t="n"/>
      <c r="CA5" s="21" t="n"/>
    </row>
    <row r="6">
      <c r="A6" t="inlineStr">
        <is>
          <t>A2</t>
        </is>
      </c>
      <c r="B6" s="14" t="inlineStr">
        <is>
          <t>Diseños arquitectónico, estructural y técnicos</t>
        </is>
      </c>
      <c r="C6" t="inlineStr">
        <is>
          <t>Diseño y licencia</t>
        </is>
      </c>
      <c r="D6" s="3" t="n">
        <v>1</v>
      </c>
      <c r="E6" s="3" t="n">
        <v>10</v>
      </c>
      <c r="F6" s="19">
        <f>DATE(2026,11,2)+7*D6</f>
        <v/>
      </c>
      <c r="G6" s="19">
        <f>F6+7*E6-3</f>
        <v/>
      </c>
      <c r="H6" t="n">
        <v>0</v>
      </c>
      <c r="I6" t="inlineStr">
        <is>
          <t>sí</t>
        </is>
      </c>
      <c r="J6" s="20" t="n"/>
      <c r="K6" s="21" t="n"/>
      <c r="L6" s="21" t="n"/>
      <c r="M6" s="21" t="n"/>
      <c r="N6" s="21" t="n"/>
      <c r="O6" s="20" t="n"/>
      <c r="P6" s="21" t="n"/>
      <c r="Q6" s="21" t="n"/>
      <c r="R6" s="21" t="n"/>
      <c r="S6" s="20" t="n"/>
      <c r="T6" s="21" t="n"/>
      <c r="U6" s="21" t="n"/>
      <c r="V6" s="21" t="n"/>
      <c r="W6" s="20" t="n"/>
      <c r="X6" s="21" t="n"/>
      <c r="Y6" s="21" t="n"/>
      <c r="Z6" s="21" t="n"/>
      <c r="AA6" s="20" t="n"/>
      <c r="AB6" s="21" t="n"/>
      <c r="AC6" s="21" t="n"/>
      <c r="AD6" s="21" t="n"/>
      <c r="AE6" s="21" t="n"/>
      <c r="AF6" s="20" t="n"/>
      <c r="AG6" s="21" t="n"/>
      <c r="AH6" s="21" t="n"/>
      <c r="AI6" s="21" t="n"/>
      <c r="AJ6" s="20" t="n"/>
      <c r="AK6" s="21" t="n"/>
      <c r="AL6" s="21" t="n"/>
      <c r="AM6" s="21" t="n"/>
      <c r="AN6" s="21" t="n"/>
      <c r="AO6" s="20" t="n"/>
      <c r="AP6" s="21" t="n"/>
      <c r="AQ6" s="21" t="n"/>
      <c r="AR6" s="21" t="n"/>
      <c r="AS6" s="20" t="n"/>
      <c r="AT6" s="21" t="n"/>
      <c r="AU6" s="21" t="n"/>
      <c r="AV6" s="21" t="n"/>
      <c r="AW6" s="20" t="n"/>
      <c r="AX6" s="21" t="n"/>
      <c r="AY6" s="21" t="n"/>
      <c r="AZ6" s="21" t="n"/>
      <c r="BA6" s="21" t="n"/>
      <c r="BB6" s="20" t="n"/>
      <c r="BC6" s="21" t="n"/>
      <c r="BD6" s="21" t="n"/>
      <c r="BE6" s="21" t="n"/>
      <c r="BF6" s="20" t="n"/>
      <c r="BG6" s="21" t="n"/>
      <c r="BH6" s="21" t="n"/>
      <c r="BI6" s="21" t="n"/>
      <c r="BJ6" s="20" t="n"/>
      <c r="BK6" s="21" t="n"/>
      <c r="BL6" s="21" t="n"/>
      <c r="BM6" s="21" t="n"/>
      <c r="BN6" s="21" t="n"/>
      <c r="BO6" s="20" t="n"/>
      <c r="BP6" s="21" t="n"/>
      <c r="BQ6" s="21" t="n"/>
      <c r="BR6" s="21" t="n"/>
      <c r="BS6" s="20" t="n"/>
      <c r="BT6" s="21" t="n"/>
      <c r="BU6" s="21" t="n"/>
      <c r="BV6" s="21" t="n"/>
      <c r="BW6" s="21" t="n"/>
      <c r="BX6" s="20" t="n"/>
      <c r="BY6" s="21" t="n"/>
      <c r="BZ6" s="21" t="n"/>
      <c r="CA6" s="21" t="n"/>
    </row>
    <row r="7">
      <c r="A7" t="inlineStr">
        <is>
          <t>A3</t>
        </is>
      </c>
      <c r="B7" s="14" t="inlineStr">
        <is>
          <t>Licencia de construcción en curaduría</t>
        </is>
      </c>
      <c r="C7" t="inlineStr">
        <is>
          <t>Diseño y licencia</t>
        </is>
      </c>
      <c r="D7" s="3" t="n">
        <v>11</v>
      </c>
      <c r="E7" s="3" t="n">
        <v>12</v>
      </c>
      <c r="F7" s="19">
        <f>DATE(2026,11,2)+7*D7</f>
        <v/>
      </c>
      <c r="G7" s="19">
        <f>F7+7*E7-3</f>
        <v/>
      </c>
      <c r="H7" t="n">
        <v>0</v>
      </c>
      <c r="I7" t="inlineStr">
        <is>
          <t>sí</t>
        </is>
      </c>
      <c r="J7" s="20" t="n"/>
      <c r="K7" s="21" t="n"/>
      <c r="L7" s="21" t="n"/>
      <c r="M7" s="21" t="n"/>
      <c r="N7" s="21" t="n"/>
      <c r="O7" s="20" t="n"/>
      <c r="P7" s="21" t="n"/>
      <c r="Q7" s="21" t="n"/>
      <c r="R7" s="21" t="n"/>
      <c r="S7" s="20" t="n"/>
      <c r="T7" s="21" t="n"/>
      <c r="U7" s="21" t="n"/>
      <c r="V7" s="21" t="n"/>
      <c r="W7" s="20" t="n"/>
      <c r="X7" s="21" t="n"/>
      <c r="Y7" s="21" t="n"/>
      <c r="Z7" s="21" t="n"/>
      <c r="AA7" s="20" t="n"/>
      <c r="AB7" s="21" t="n"/>
      <c r="AC7" s="21" t="n"/>
      <c r="AD7" s="21" t="n"/>
      <c r="AE7" s="21" t="n"/>
      <c r="AF7" s="20" t="n"/>
      <c r="AG7" s="21" t="n"/>
      <c r="AH7" s="21" t="n"/>
      <c r="AI7" s="21" t="n"/>
      <c r="AJ7" s="20" t="n"/>
      <c r="AK7" s="21" t="n"/>
      <c r="AL7" s="21" t="n"/>
      <c r="AM7" s="21" t="n"/>
      <c r="AN7" s="21" t="n"/>
      <c r="AO7" s="20" t="n"/>
      <c r="AP7" s="21" t="n"/>
      <c r="AQ7" s="21" t="n"/>
      <c r="AR7" s="21" t="n"/>
      <c r="AS7" s="20" t="n"/>
      <c r="AT7" s="21" t="n"/>
      <c r="AU7" s="21" t="n"/>
      <c r="AV7" s="21" t="n"/>
      <c r="AW7" s="20" t="n"/>
      <c r="AX7" s="21" t="n"/>
      <c r="AY7" s="21" t="n"/>
      <c r="AZ7" s="21" t="n"/>
      <c r="BA7" s="21" t="n"/>
      <c r="BB7" s="20" t="n"/>
      <c r="BC7" s="21" t="n"/>
      <c r="BD7" s="21" t="n"/>
      <c r="BE7" s="21" t="n"/>
      <c r="BF7" s="20" t="n"/>
      <c r="BG7" s="21" t="n"/>
      <c r="BH7" s="21" t="n"/>
      <c r="BI7" s="21" t="n"/>
      <c r="BJ7" s="20" t="n"/>
      <c r="BK7" s="21" t="n"/>
      <c r="BL7" s="21" t="n"/>
      <c r="BM7" s="21" t="n"/>
      <c r="BN7" s="21" t="n"/>
      <c r="BO7" s="20" t="n"/>
      <c r="BP7" s="21" t="n"/>
      <c r="BQ7" s="21" t="n"/>
      <c r="BR7" s="21" t="n"/>
      <c r="BS7" s="20" t="n"/>
      <c r="BT7" s="21" t="n"/>
      <c r="BU7" s="21" t="n"/>
      <c r="BV7" s="21" t="n"/>
      <c r="BW7" s="21" t="n"/>
      <c r="BX7" s="20" t="n"/>
      <c r="BY7" s="21" t="n"/>
      <c r="BZ7" s="21" t="n"/>
      <c r="CA7" s="21" t="n"/>
    </row>
    <row r="8">
      <c r="A8" t="inlineStr">
        <is>
          <t>A4</t>
        </is>
      </c>
      <c r="B8" s="22" t="inlineStr">
        <is>
          <t>Contratación y pedidos de largo plazo</t>
        </is>
      </c>
      <c r="C8" t="inlineStr">
        <is>
          <t>Diseño y licencia</t>
        </is>
      </c>
      <c r="D8" s="3" t="n">
        <v>13</v>
      </c>
      <c r="E8" s="3" t="n">
        <v>6</v>
      </c>
      <c r="F8" s="19">
        <f>DATE(2026,11,2)+7*D8</f>
        <v/>
      </c>
      <c r="G8" s="19">
        <f>F8+7*E8-3</f>
        <v/>
      </c>
      <c r="H8" t="n">
        <v>32</v>
      </c>
      <c r="I8" t="inlineStr"/>
      <c r="J8" s="20" t="n"/>
      <c r="K8" s="21" t="n"/>
      <c r="L8" s="21" t="n"/>
      <c r="M8" s="21" t="n"/>
      <c r="N8" s="21" t="n"/>
      <c r="O8" s="20" t="n"/>
      <c r="P8" s="21" t="n"/>
      <c r="Q8" s="21" t="n"/>
      <c r="R8" s="21" t="n"/>
      <c r="S8" s="20" t="n"/>
      <c r="T8" s="21" t="n"/>
      <c r="U8" s="21" t="n"/>
      <c r="V8" s="21" t="n"/>
      <c r="W8" s="20" t="n"/>
      <c r="X8" s="21" t="n"/>
      <c r="Y8" s="21" t="n"/>
      <c r="Z8" s="21" t="n"/>
      <c r="AA8" s="20" t="n"/>
      <c r="AB8" s="21" t="n"/>
      <c r="AC8" s="21" t="n"/>
      <c r="AD8" s="21" t="n"/>
      <c r="AE8" s="21" t="n"/>
      <c r="AF8" s="20" t="n"/>
      <c r="AG8" s="21" t="n"/>
      <c r="AH8" s="21" t="n"/>
      <c r="AI8" s="21" t="n"/>
      <c r="AJ8" s="20" t="n"/>
      <c r="AK8" s="21" t="n"/>
      <c r="AL8" s="21" t="n"/>
      <c r="AM8" s="21" t="n"/>
      <c r="AN8" s="21" t="n"/>
      <c r="AO8" s="20" t="n"/>
      <c r="AP8" s="21" t="n"/>
      <c r="AQ8" s="21" t="n"/>
      <c r="AR8" s="21" t="n"/>
      <c r="AS8" s="20" t="n"/>
      <c r="AT8" s="21" t="n"/>
      <c r="AU8" s="21" t="n"/>
      <c r="AV8" s="21" t="n"/>
      <c r="AW8" s="20" t="n"/>
      <c r="AX8" s="21" t="n"/>
      <c r="AY8" s="21" t="n"/>
      <c r="AZ8" s="21" t="n"/>
      <c r="BA8" s="21" t="n"/>
      <c r="BB8" s="20" t="n"/>
      <c r="BC8" s="21" t="n"/>
      <c r="BD8" s="21" t="n"/>
      <c r="BE8" s="21" t="n"/>
      <c r="BF8" s="20" t="n"/>
      <c r="BG8" s="21" t="n"/>
      <c r="BH8" s="21" t="n"/>
      <c r="BI8" s="21" t="n"/>
      <c r="BJ8" s="20" t="n"/>
      <c r="BK8" s="21" t="n"/>
      <c r="BL8" s="21" t="n"/>
      <c r="BM8" s="21" t="n"/>
      <c r="BN8" s="21" t="n"/>
      <c r="BO8" s="20" t="n"/>
      <c r="BP8" s="21" t="n"/>
      <c r="BQ8" s="21" t="n"/>
      <c r="BR8" s="21" t="n"/>
      <c r="BS8" s="20" t="n"/>
      <c r="BT8" s="21" t="n"/>
      <c r="BU8" s="21" t="n"/>
      <c r="BV8" s="21" t="n"/>
      <c r="BW8" s="21" t="n"/>
      <c r="BX8" s="20" t="n"/>
      <c r="BY8" s="21" t="n"/>
      <c r="BZ8" s="21" t="n"/>
      <c r="CA8" s="21" t="n"/>
    </row>
    <row r="9">
      <c r="A9" t="inlineStr">
        <is>
          <t>B1</t>
        </is>
      </c>
      <c r="B9" s="14" t="inlineStr">
        <is>
          <t>Preliminares, cerramiento y replanteo</t>
        </is>
      </c>
      <c r="C9" t="inlineStr">
        <is>
          <t>Obra gris</t>
        </is>
      </c>
      <c r="D9" s="3" t="n">
        <v>23</v>
      </c>
      <c r="E9" s="3" t="n">
        <v>2</v>
      </c>
      <c r="F9" s="19">
        <f>DATE(2026,11,2)+7*D9</f>
        <v/>
      </c>
      <c r="G9" s="19">
        <f>F9+7*E9-3</f>
        <v/>
      </c>
      <c r="H9" t="n">
        <v>0</v>
      </c>
      <c r="I9" t="inlineStr">
        <is>
          <t>sí</t>
        </is>
      </c>
      <c r="J9" s="20" t="n"/>
      <c r="K9" s="21" t="n"/>
      <c r="L9" s="21" t="n"/>
      <c r="M9" s="21" t="n"/>
      <c r="N9" s="21" t="n"/>
      <c r="O9" s="20" t="n"/>
      <c r="P9" s="21" t="n"/>
      <c r="Q9" s="21" t="n"/>
      <c r="R9" s="21" t="n"/>
      <c r="S9" s="20" t="n"/>
      <c r="T9" s="21" t="n"/>
      <c r="U9" s="21" t="n"/>
      <c r="V9" s="21" t="n"/>
      <c r="W9" s="20" t="n"/>
      <c r="X9" s="21" t="n"/>
      <c r="Y9" s="21" t="n"/>
      <c r="Z9" s="21" t="n"/>
      <c r="AA9" s="20" t="n"/>
      <c r="AB9" s="21" t="n"/>
      <c r="AC9" s="21" t="n"/>
      <c r="AD9" s="21" t="n"/>
      <c r="AE9" s="21" t="n"/>
      <c r="AF9" s="20" t="n"/>
      <c r="AG9" s="21" t="n"/>
      <c r="AH9" s="21" t="n"/>
      <c r="AI9" s="21" t="n"/>
      <c r="AJ9" s="20" t="n"/>
      <c r="AK9" s="21" t="n"/>
      <c r="AL9" s="21" t="n"/>
      <c r="AM9" s="21" t="n"/>
      <c r="AN9" s="21" t="n"/>
      <c r="AO9" s="20" t="n"/>
      <c r="AP9" s="21" t="n"/>
      <c r="AQ9" s="21" t="n"/>
      <c r="AR9" s="21" t="n"/>
      <c r="AS9" s="20" t="n"/>
      <c r="AT9" s="21" t="n"/>
      <c r="AU9" s="21" t="n"/>
      <c r="AV9" s="21" t="n"/>
      <c r="AW9" s="20" t="n"/>
      <c r="AX9" s="21" t="n"/>
      <c r="AY9" s="21" t="n"/>
      <c r="AZ9" s="21" t="n"/>
      <c r="BA9" s="21" t="n"/>
      <c r="BB9" s="20" t="n"/>
      <c r="BC9" s="21" t="n"/>
      <c r="BD9" s="21" t="n"/>
      <c r="BE9" s="21" t="n"/>
      <c r="BF9" s="20" t="n"/>
      <c r="BG9" s="21" t="n"/>
      <c r="BH9" s="21" t="n"/>
      <c r="BI9" s="21" t="n"/>
      <c r="BJ9" s="20" t="n"/>
      <c r="BK9" s="21" t="n"/>
      <c r="BL9" s="21" t="n"/>
      <c r="BM9" s="21" t="n"/>
      <c r="BN9" s="21" t="n"/>
      <c r="BO9" s="20" t="n"/>
      <c r="BP9" s="21" t="n"/>
      <c r="BQ9" s="21" t="n"/>
      <c r="BR9" s="21" t="n"/>
      <c r="BS9" s="20" t="n"/>
      <c r="BT9" s="21" t="n"/>
      <c r="BU9" s="21" t="n"/>
      <c r="BV9" s="21" t="n"/>
      <c r="BW9" s="21" t="n"/>
      <c r="BX9" s="20" t="n"/>
      <c r="BY9" s="21" t="n"/>
      <c r="BZ9" s="21" t="n"/>
      <c r="CA9" s="21" t="n"/>
    </row>
    <row r="10">
      <c r="A10" t="inlineStr">
        <is>
          <t>B2</t>
        </is>
      </c>
      <c r="B10" s="14" t="inlineStr">
        <is>
          <t>Excavación y mejoramiento del suelo</t>
        </is>
      </c>
      <c r="C10" t="inlineStr">
        <is>
          <t>Obra gris</t>
        </is>
      </c>
      <c r="D10" s="3" t="n">
        <v>25</v>
      </c>
      <c r="E10" s="3" t="n">
        <v>3</v>
      </c>
      <c r="F10" s="19">
        <f>DATE(2026,11,2)+7*D10</f>
        <v/>
      </c>
      <c r="G10" s="19">
        <f>F10+7*E10-3</f>
        <v/>
      </c>
      <c r="H10" t="n">
        <v>0</v>
      </c>
      <c r="I10" t="inlineStr">
        <is>
          <t>sí</t>
        </is>
      </c>
      <c r="J10" s="20" t="n"/>
      <c r="K10" s="21" t="n"/>
      <c r="L10" s="21" t="n"/>
      <c r="M10" s="21" t="n"/>
      <c r="N10" s="21" t="n"/>
      <c r="O10" s="20" t="n"/>
      <c r="P10" s="21" t="n"/>
      <c r="Q10" s="21" t="n"/>
      <c r="R10" s="21" t="n"/>
      <c r="S10" s="20" t="n"/>
      <c r="T10" s="21" t="n"/>
      <c r="U10" s="21" t="n"/>
      <c r="V10" s="21" t="n"/>
      <c r="W10" s="20" t="n"/>
      <c r="X10" s="21" t="n"/>
      <c r="Y10" s="21" t="n"/>
      <c r="Z10" s="21" t="n"/>
      <c r="AA10" s="20" t="n"/>
      <c r="AB10" s="21" t="n"/>
      <c r="AC10" s="21" t="n"/>
      <c r="AD10" s="21" t="n"/>
      <c r="AE10" s="21" t="n"/>
      <c r="AF10" s="20" t="n"/>
      <c r="AG10" s="21" t="n"/>
      <c r="AH10" s="21" t="n"/>
      <c r="AI10" s="21" t="n"/>
      <c r="AJ10" s="20" t="n"/>
      <c r="AK10" s="21" t="n"/>
      <c r="AL10" s="21" t="n"/>
      <c r="AM10" s="21" t="n"/>
      <c r="AN10" s="21" t="n"/>
      <c r="AO10" s="20" t="n"/>
      <c r="AP10" s="21" t="n"/>
      <c r="AQ10" s="21" t="n"/>
      <c r="AR10" s="21" t="n"/>
      <c r="AS10" s="20" t="n"/>
      <c r="AT10" s="21" t="n"/>
      <c r="AU10" s="21" t="n"/>
      <c r="AV10" s="21" t="n"/>
      <c r="AW10" s="20" t="n"/>
      <c r="AX10" s="21" t="n"/>
      <c r="AY10" s="21" t="n"/>
      <c r="AZ10" s="21" t="n"/>
      <c r="BA10" s="21" t="n"/>
      <c r="BB10" s="20" t="n"/>
      <c r="BC10" s="21" t="n"/>
      <c r="BD10" s="21" t="n"/>
      <c r="BE10" s="21" t="n"/>
      <c r="BF10" s="20" t="n"/>
      <c r="BG10" s="21" t="n"/>
      <c r="BH10" s="21" t="n"/>
      <c r="BI10" s="21" t="n"/>
      <c r="BJ10" s="20" t="n"/>
      <c r="BK10" s="21" t="n"/>
      <c r="BL10" s="21" t="n"/>
      <c r="BM10" s="21" t="n"/>
      <c r="BN10" s="21" t="n"/>
      <c r="BO10" s="20" t="n"/>
      <c r="BP10" s="21" t="n"/>
      <c r="BQ10" s="21" t="n"/>
      <c r="BR10" s="21" t="n"/>
      <c r="BS10" s="20" t="n"/>
      <c r="BT10" s="21" t="n"/>
      <c r="BU10" s="21" t="n"/>
      <c r="BV10" s="21" t="n"/>
      <c r="BW10" s="21" t="n"/>
      <c r="BX10" s="20" t="n"/>
      <c r="BY10" s="21" t="n"/>
      <c r="BZ10" s="21" t="n"/>
      <c r="CA10" s="21" t="n"/>
    </row>
    <row r="11">
      <c r="A11" t="inlineStr">
        <is>
          <t>B3</t>
        </is>
      </c>
      <c r="B11" s="14" t="inlineStr">
        <is>
          <t>Cimentación y placa de contrapiso</t>
        </is>
      </c>
      <c r="C11" t="inlineStr">
        <is>
          <t>Obra gris</t>
        </is>
      </c>
      <c r="D11" s="3" t="n">
        <v>28</v>
      </c>
      <c r="E11" s="3" t="n">
        <v>4</v>
      </c>
      <c r="F11" s="19">
        <f>DATE(2026,11,2)+7*D11</f>
        <v/>
      </c>
      <c r="G11" s="19">
        <f>F11+7*E11-3</f>
        <v/>
      </c>
      <c r="H11" t="n">
        <v>0</v>
      </c>
      <c r="I11" t="inlineStr">
        <is>
          <t>sí</t>
        </is>
      </c>
      <c r="J11" s="20" t="n"/>
      <c r="K11" s="21" t="n"/>
      <c r="L11" s="21" t="n"/>
      <c r="M11" s="21" t="n"/>
      <c r="N11" s="21" t="n"/>
      <c r="O11" s="20" t="n"/>
      <c r="P11" s="21" t="n"/>
      <c r="Q11" s="21" t="n"/>
      <c r="R11" s="21" t="n"/>
      <c r="S11" s="20" t="n"/>
      <c r="T11" s="21" t="n"/>
      <c r="U11" s="21" t="n"/>
      <c r="V11" s="21" t="n"/>
      <c r="W11" s="20" t="n"/>
      <c r="X11" s="21" t="n"/>
      <c r="Y11" s="21" t="n"/>
      <c r="Z11" s="21" t="n"/>
      <c r="AA11" s="20" t="n"/>
      <c r="AB11" s="21" t="n"/>
      <c r="AC11" s="21" t="n"/>
      <c r="AD11" s="21" t="n"/>
      <c r="AE11" s="21" t="n"/>
      <c r="AF11" s="20" t="n"/>
      <c r="AG11" s="21" t="n"/>
      <c r="AH11" s="21" t="n"/>
      <c r="AI11" s="21" t="n"/>
      <c r="AJ11" s="20" t="n"/>
      <c r="AK11" s="21" t="n"/>
      <c r="AL11" s="21" t="n"/>
      <c r="AM11" s="21" t="n"/>
      <c r="AN11" s="21" t="n"/>
      <c r="AO11" s="20" t="n"/>
      <c r="AP11" s="21" t="n"/>
      <c r="AQ11" s="21" t="n"/>
      <c r="AR11" s="21" t="n"/>
      <c r="AS11" s="20" t="n"/>
      <c r="AT11" s="21" t="n"/>
      <c r="AU11" s="21" t="n"/>
      <c r="AV11" s="21" t="n"/>
      <c r="AW11" s="20" t="n"/>
      <c r="AX11" s="21" t="n"/>
      <c r="AY11" s="21" t="n"/>
      <c r="AZ11" s="21" t="n"/>
      <c r="BA11" s="21" t="n"/>
      <c r="BB11" s="20" t="n"/>
      <c r="BC11" s="21" t="n"/>
      <c r="BD11" s="21" t="n"/>
      <c r="BE11" s="21" t="n"/>
      <c r="BF11" s="20" t="n"/>
      <c r="BG11" s="21" t="n"/>
      <c r="BH11" s="21" t="n"/>
      <c r="BI11" s="21" t="n"/>
      <c r="BJ11" s="20" t="n"/>
      <c r="BK11" s="21" t="n"/>
      <c r="BL11" s="21" t="n"/>
      <c r="BM11" s="21" t="n"/>
      <c r="BN11" s="21" t="n"/>
      <c r="BO11" s="20" t="n"/>
      <c r="BP11" s="21" t="n"/>
      <c r="BQ11" s="21" t="n"/>
      <c r="BR11" s="21" t="n"/>
      <c r="BS11" s="20" t="n"/>
      <c r="BT11" s="21" t="n"/>
      <c r="BU11" s="21" t="n"/>
      <c r="BV11" s="21" t="n"/>
      <c r="BW11" s="21" t="n"/>
      <c r="BX11" s="20" t="n"/>
      <c r="BY11" s="21" t="n"/>
      <c r="BZ11" s="21" t="n"/>
      <c r="CA11" s="21" t="n"/>
    </row>
    <row r="12">
      <c r="A12" t="inlineStr">
        <is>
          <t>B4</t>
        </is>
      </c>
      <c r="B12" s="14" t="inlineStr">
        <is>
          <t>Columnas de PB y losa de entrepiso</t>
        </is>
      </c>
      <c r="C12" t="inlineStr">
        <is>
          <t>Obra gris</t>
        </is>
      </c>
      <c r="D12" s="3" t="n">
        <v>32</v>
      </c>
      <c r="E12" s="3" t="n">
        <v>6</v>
      </c>
      <c r="F12" s="19">
        <f>DATE(2026,11,2)+7*D12</f>
        <v/>
      </c>
      <c r="G12" s="19">
        <f>F12+7*E12-3</f>
        <v/>
      </c>
      <c r="H12" t="n">
        <v>0</v>
      </c>
      <c r="I12" t="inlineStr">
        <is>
          <t>sí</t>
        </is>
      </c>
      <c r="J12" s="20" t="n"/>
      <c r="K12" s="21" t="n"/>
      <c r="L12" s="21" t="n"/>
      <c r="M12" s="21" t="n"/>
      <c r="N12" s="21" t="n"/>
      <c r="O12" s="20" t="n"/>
      <c r="P12" s="21" t="n"/>
      <c r="Q12" s="21" t="n"/>
      <c r="R12" s="21" t="n"/>
      <c r="S12" s="20" t="n"/>
      <c r="T12" s="21" t="n"/>
      <c r="U12" s="21" t="n"/>
      <c r="V12" s="21" t="n"/>
      <c r="W12" s="20" t="n"/>
      <c r="X12" s="21" t="n"/>
      <c r="Y12" s="21" t="n"/>
      <c r="Z12" s="21" t="n"/>
      <c r="AA12" s="20" t="n"/>
      <c r="AB12" s="21" t="n"/>
      <c r="AC12" s="21" t="n"/>
      <c r="AD12" s="21" t="n"/>
      <c r="AE12" s="21" t="n"/>
      <c r="AF12" s="20" t="n"/>
      <c r="AG12" s="21" t="n"/>
      <c r="AH12" s="21" t="n"/>
      <c r="AI12" s="21" t="n"/>
      <c r="AJ12" s="20" t="n"/>
      <c r="AK12" s="21" t="n"/>
      <c r="AL12" s="21" t="n"/>
      <c r="AM12" s="21" t="n"/>
      <c r="AN12" s="21" t="n"/>
      <c r="AO12" s="20" t="n"/>
      <c r="AP12" s="21" t="n"/>
      <c r="AQ12" s="21" t="n"/>
      <c r="AR12" s="21" t="n"/>
      <c r="AS12" s="20" t="n"/>
      <c r="AT12" s="21" t="n"/>
      <c r="AU12" s="21" t="n"/>
      <c r="AV12" s="21" t="n"/>
      <c r="AW12" s="20" t="n"/>
      <c r="AX12" s="21" t="n"/>
      <c r="AY12" s="21" t="n"/>
      <c r="AZ12" s="21" t="n"/>
      <c r="BA12" s="21" t="n"/>
      <c r="BB12" s="20" t="n"/>
      <c r="BC12" s="21" t="n"/>
      <c r="BD12" s="21" t="n"/>
      <c r="BE12" s="21" t="n"/>
      <c r="BF12" s="20" t="n"/>
      <c r="BG12" s="21" t="n"/>
      <c r="BH12" s="21" t="n"/>
      <c r="BI12" s="21" t="n"/>
      <c r="BJ12" s="20" t="n"/>
      <c r="BK12" s="21" t="n"/>
      <c r="BL12" s="21" t="n"/>
      <c r="BM12" s="21" t="n"/>
      <c r="BN12" s="21" t="n"/>
      <c r="BO12" s="20" t="n"/>
      <c r="BP12" s="21" t="n"/>
      <c r="BQ12" s="21" t="n"/>
      <c r="BR12" s="21" t="n"/>
      <c r="BS12" s="20" t="n"/>
      <c r="BT12" s="21" t="n"/>
      <c r="BU12" s="21" t="n"/>
      <c r="BV12" s="21" t="n"/>
      <c r="BW12" s="21" t="n"/>
      <c r="BX12" s="20" t="n"/>
      <c r="BY12" s="21" t="n"/>
      <c r="BZ12" s="21" t="n"/>
      <c r="CA12" s="21" t="n"/>
    </row>
    <row r="13">
      <c r="A13" t="inlineStr">
        <is>
          <t>B5</t>
        </is>
      </c>
      <c r="B13" s="14" t="inlineStr">
        <is>
          <t>Columnas de PA y losa de cubierta</t>
        </is>
      </c>
      <c r="C13" t="inlineStr">
        <is>
          <t>Obra gris</t>
        </is>
      </c>
      <c r="D13" s="3" t="n">
        <v>38</v>
      </c>
      <c r="E13" s="3" t="n">
        <v>6</v>
      </c>
      <c r="F13" s="19">
        <f>DATE(2026,11,2)+7*D13</f>
        <v/>
      </c>
      <c r="G13" s="19">
        <f>F13+7*E13-3</f>
        <v/>
      </c>
      <c r="H13" t="n">
        <v>0</v>
      </c>
      <c r="I13" t="inlineStr">
        <is>
          <t>sí</t>
        </is>
      </c>
      <c r="J13" s="20" t="n"/>
      <c r="K13" s="21" t="n"/>
      <c r="L13" s="21" t="n"/>
      <c r="M13" s="21" t="n"/>
      <c r="N13" s="21" t="n"/>
      <c r="O13" s="20" t="n"/>
      <c r="P13" s="21" t="n"/>
      <c r="Q13" s="21" t="n"/>
      <c r="R13" s="21" t="n"/>
      <c r="S13" s="20" t="n"/>
      <c r="T13" s="21" t="n"/>
      <c r="U13" s="21" t="n"/>
      <c r="V13" s="21" t="n"/>
      <c r="W13" s="20" t="n"/>
      <c r="X13" s="21" t="n"/>
      <c r="Y13" s="21" t="n"/>
      <c r="Z13" s="21" t="n"/>
      <c r="AA13" s="20" t="n"/>
      <c r="AB13" s="21" t="n"/>
      <c r="AC13" s="21" t="n"/>
      <c r="AD13" s="21" t="n"/>
      <c r="AE13" s="21" t="n"/>
      <c r="AF13" s="20" t="n"/>
      <c r="AG13" s="21" t="n"/>
      <c r="AH13" s="21" t="n"/>
      <c r="AI13" s="21" t="n"/>
      <c r="AJ13" s="20" t="n"/>
      <c r="AK13" s="21" t="n"/>
      <c r="AL13" s="21" t="n"/>
      <c r="AM13" s="21" t="n"/>
      <c r="AN13" s="21" t="n"/>
      <c r="AO13" s="20" t="n"/>
      <c r="AP13" s="21" t="n"/>
      <c r="AQ13" s="21" t="n"/>
      <c r="AR13" s="21" t="n"/>
      <c r="AS13" s="20" t="n"/>
      <c r="AT13" s="21" t="n"/>
      <c r="AU13" s="21" t="n"/>
      <c r="AV13" s="21" t="n"/>
      <c r="AW13" s="20" t="n"/>
      <c r="AX13" s="21" t="n"/>
      <c r="AY13" s="21" t="n"/>
      <c r="AZ13" s="21" t="n"/>
      <c r="BA13" s="21" t="n"/>
      <c r="BB13" s="20" t="n"/>
      <c r="BC13" s="21" t="n"/>
      <c r="BD13" s="21" t="n"/>
      <c r="BE13" s="21" t="n"/>
      <c r="BF13" s="20" t="n"/>
      <c r="BG13" s="21" t="n"/>
      <c r="BH13" s="21" t="n"/>
      <c r="BI13" s="21" t="n"/>
      <c r="BJ13" s="20" t="n"/>
      <c r="BK13" s="21" t="n"/>
      <c r="BL13" s="21" t="n"/>
      <c r="BM13" s="21" t="n"/>
      <c r="BN13" s="21" t="n"/>
      <c r="BO13" s="20" t="n"/>
      <c r="BP13" s="21" t="n"/>
      <c r="BQ13" s="21" t="n"/>
      <c r="BR13" s="21" t="n"/>
      <c r="BS13" s="20" t="n"/>
      <c r="BT13" s="21" t="n"/>
      <c r="BU13" s="21" t="n"/>
      <c r="BV13" s="21" t="n"/>
      <c r="BW13" s="21" t="n"/>
      <c r="BX13" s="20" t="n"/>
      <c r="BY13" s="21" t="n"/>
      <c r="BZ13" s="21" t="n"/>
      <c r="CA13" s="21" t="n"/>
    </row>
    <row r="14">
      <c r="A14" t="inlineStr">
        <is>
          <t>B6</t>
        </is>
      </c>
      <c r="B14" s="22" t="inlineStr">
        <is>
          <t>Muro de contención y vaso de la piscina</t>
        </is>
      </c>
      <c r="C14" t="inlineStr">
        <is>
          <t>Obra gris</t>
        </is>
      </c>
      <c r="D14" s="3" t="n">
        <v>33</v>
      </c>
      <c r="E14" s="3" t="n">
        <v>7</v>
      </c>
      <c r="F14" s="19">
        <f>DATE(2026,11,2)+7*D14</f>
        <v/>
      </c>
      <c r="G14" s="19">
        <f>F14+7*E14-3</f>
        <v/>
      </c>
      <c r="H14" t="n">
        <v>24</v>
      </c>
      <c r="I14" t="inlineStr"/>
      <c r="J14" s="20" t="n"/>
      <c r="K14" s="21" t="n"/>
      <c r="L14" s="21" t="n"/>
      <c r="M14" s="21" t="n"/>
      <c r="N14" s="21" t="n"/>
      <c r="O14" s="20" t="n"/>
      <c r="P14" s="21" t="n"/>
      <c r="Q14" s="21" t="n"/>
      <c r="R14" s="21" t="n"/>
      <c r="S14" s="20" t="n"/>
      <c r="T14" s="21" t="n"/>
      <c r="U14" s="21" t="n"/>
      <c r="V14" s="21" t="n"/>
      <c r="W14" s="20" t="n"/>
      <c r="X14" s="21" t="n"/>
      <c r="Y14" s="21" t="n"/>
      <c r="Z14" s="21" t="n"/>
      <c r="AA14" s="20" t="n"/>
      <c r="AB14" s="21" t="n"/>
      <c r="AC14" s="21" t="n"/>
      <c r="AD14" s="21" t="n"/>
      <c r="AE14" s="21" t="n"/>
      <c r="AF14" s="20" t="n"/>
      <c r="AG14" s="21" t="n"/>
      <c r="AH14" s="21" t="n"/>
      <c r="AI14" s="21" t="n"/>
      <c r="AJ14" s="20" t="n"/>
      <c r="AK14" s="21" t="n"/>
      <c r="AL14" s="21" t="n"/>
      <c r="AM14" s="21" t="n"/>
      <c r="AN14" s="21" t="n"/>
      <c r="AO14" s="20" t="n"/>
      <c r="AP14" s="21" t="n"/>
      <c r="AQ14" s="21" t="n"/>
      <c r="AR14" s="21" t="n"/>
      <c r="AS14" s="20" t="n"/>
      <c r="AT14" s="21" t="n"/>
      <c r="AU14" s="21" t="n"/>
      <c r="AV14" s="21" t="n"/>
      <c r="AW14" s="20" t="n"/>
      <c r="AX14" s="21" t="n"/>
      <c r="AY14" s="21" t="n"/>
      <c r="AZ14" s="21" t="n"/>
      <c r="BA14" s="21" t="n"/>
      <c r="BB14" s="20" t="n"/>
      <c r="BC14" s="21" t="n"/>
      <c r="BD14" s="21" t="n"/>
      <c r="BE14" s="21" t="n"/>
      <c r="BF14" s="20" t="n"/>
      <c r="BG14" s="21" t="n"/>
      <c r="BH14" s="21" t="n"/>
      <c r="BI14" s="21" t="n"/>
      <c r="BJ14" s="20" t="n"/>
      <c r="BK14" s="21" t="n"/>
      <c r="BL14" s="21" t="n"/>
      <c r="BM14" s="21" t="n"/>
      <c r="BN14" s="21" t="n"/>
      <c r="BO14" s="20" t="n"/>
      <c r="BP14" s="21" t="n"/>
      <c r="BQ14" s="21" t="n"/>
      <c r="BR14" s="21" t="n"/>
      <c r="BS14" s="20" t="n"/>
      <c r="BT14" s="21" t="n"/>
      <c r="BU14" s="21" t="n"/>
      <c r="BV14" s="21" t="n"/>
      <c r="BW14" s="21" t="n"/>
      <c r="BX14" s="20" t="n"/>
      <c r="BY14" s="21" t="n"/>
      <c r="BZ14" s="21" t="n"/>
      <c r="CA14" s="21" t="n"/>
    </row>
    <row r="15">
      <c r="A15" t="inlineStr">
        <is>
          <t>B7</t>
        </is>
      </c>
      <c r="B15" s="22" t="inlineStr">
        <is>
          <t>Mampostería</t>
        </is>
      </c>
      <c r="C15" t="inlineStr">
        <is>
          <t>Obra gris</t>
        </is>
      </c>
      <c r="D15" s="3" t="n">
        <v>39</v>
      </c>
      <c r="E15" s="3" t="n">
        <v>7</v>
      </c>
      <c r="F15" s="19">
        <f>DATE(2026,11,2)+7*D15</f>
        <v/>
      </c>
      <c r="G15" s="19">
        <f>F15+7*E15-3</f>
        <v/>
      </c>
      <c r="H15" t="n">
        <v>1</v>
      </c>
      <c r="I15" t="inlineStr"/>
      <c r="J15" s="20" t="n"/>
      <c r="K15" s="21" t="n"/>
      <c r="L15" s="21" t="n"/>
      <c r="M15" s="21" t="n"/>
      <c r="N15" s="21" t="n"/>
      <c r="O15" s="20" t="n"/>
      <c r="P15" s="21" t="n"/>
      <c r="Q15" s="21" t="n"/>
      <c r="R15" s="21" t="n"/>
      <c r="S15" s="20" t="n"/>
      <c r="T15" s="21" t="n"/>
      <c r="U15" s="21" t="n"/>
      <c r="V15" s="21" t="n"/>
      <c r="W15" s="20" t="n"/>
      <c r="X15" s="21" t="n"/>
      <c r="Y15" s="21" t="n"/>
      <c r="Z15" s="21" t="n"/>
      <c r="AA15" s="20" t="n"/>
      <c r="AB15" s="21" t="n"/>
      <c r="AC15" s="21" t="n"/>
      <c r="AD15" s="21" t="n"/>
      <c r="AE15" s="21" t="n"/>
      <c r="AF15" s="20" t="n"/>
      <c r="AG15" s="21" t="n"/>
      <c r="AH15" s="21" t="n"/>
      <c r="AI15" s="21" t="n"/>
      <c r="AJ15" s="20" t="n"/>
      <c r="AK15" s="21" t="n"/>
      <c r="AL15" s="21" t="n"/>
      <c r="AM15" s="21" t="n"/>
      <c r="AN15" s="21" t="n"/>
      <c r="AO15" s="20" t="n"/>
      <c r="AP15" s="21" t="n"/>
      <c r="AQ15" s="21" t="n"/>
      <c r="AR15" s="21" t="n"/>
      <c r="AS15" s="20" t="n"/>
      <c r="AT15" s="21" t="n"/>
      <c r="AU15" s="21" t="n"/>
      <c r="AV15" s="21" t="n"/>
      <c r="AW15" s="20" t="n"/>
      <c r="AX15" s="21" t="n"/>
      <c r="AY15" s="21" t="n"/>
      <c r="AZ15" s="21" t="n"/>
      <c r="BA15" s="21" t="n"/>
      <c r="BB15" s="20" t="n"/>
      <c r="BC15" s="21" t="n"/>
      <c r="BD15" s="21" t="n"/>
      <c r="BE15" s="21" t="n"/>
      <c r="BF15" s="20" t="n"/>
      <c r="BG15" s="21" t="n"/>
      <c r="BH15" s="21" t="n"/>
      <c r="BI15" s="21" t="n"/>
      <c r="BJ15" s="20" t="n"/>
      <c r="BK15" s="21" t="n"/>
      <c r="BL15" s="21" t="n"/>
      <c r="BM15" s="21" t="n"/>
      <c r="BN15" s="21" t="n"/>
      <c r="BO15" s="20" t="n"/>
      <c r="BP15" s="21" t="n"/>
      <c r="BQ15" s="21" t="n"/>
      <c r="BR15" s="21" t="n"/>
      <c r="BS15" s="20" t="n"/>
      <c r="BT15" s="21" t="n"/>
      <c r="BU15" s="21" t="n"/>
      <c r="BV15" s="21" t="n"/>
      <c r="BW15" s="21" t="n"/>
      <c r="BX15" s="20" t="n"/>
      <c r="BY15" s="21" t="n"/>
      <c r="BZ15" s="21" t="n"/>
      <c r="CA15" s="21" t="n"/>
    </row>
    <row r="16">
      <c r="A16" t="inlineStr">
        <is>
          <t>B8</t>
        </is>
      </c>
      <c r="B16" s="22" t="inlineStr">
        <is>
          <t>Redes hidrosanitarias, gas y eléctricas (tubería)</t>
        </is>
      </c>
      <c r="C16" t="inlineStr">
        <is>
          <t>Obra gris</t>
        </is>
      </c>
      <c r="D16" s="3" t="n">
        <v>41</v>
      </c>
      <c r="E16" s="3" t="n">
        <v>9</v>
      </c>
      <c r="F16" s="19">
        <f>DATE(2026,11,2)+7*D16</f>
        <v/>
      </c>
      <c r="G16" s="19">
        <f>F16+7*E16-3</f>
        <v/>
      </c>
      <c r="H16" t="n">
        <v>20</v>
      </c>
      <c r="I16" t="inlineStr"/>
      <c r="J16" s="20" t="n"/>
      <c r="K16" s="21" t="n"/>
      <c r="L16" s="21" t="n"/>
      <c r="M16" s="21" t="n"/>
      <c r="N16" s="21" t="n"/>
      <c r="O16" s="20" t="n"/>
      <c r="P16" s="21" t="n"/>
      <c r="Q16" s="21" t="n"/>
      <c r="R16" s="21" t="n"/>
      <c r="S16" s="20" t="n"/>
      <c r="T16" s="21" t="n"/>
      <c r="U16" s="21" t="n"/>
      <c r="V16" s="21" t="n"/>
      <c r="W16" s="20" t="n"/>
      <c r="X16" s="21" t="n"/>
      <c r="Y16" s="21" t="n"/>
      <c r="Z16" s="21" t="n"/>
      <c r="AA16" s="20" t="n"/>
      <c r="AB16" s="21" t="n"/>
      <c r="AC16" s="21" t="n"/>
      <c r="AD16" s="21" t="n"/>
      <c r="AE16" s="21" t="n"/>
      <c r="AF16" s="20" t="n"/>
      <c r="AG16" s="21" t="n"/>
      <c r="AH16" s="21" t="n"/>
      <c r="AI16" s="21" t="n"/>
      <c r="AJ16" s="20" t="n"/>
      <c r="AK16" s="21" t="n"/>
      <c r="AL16" s="21" t="n"/>
      <c r="AM16" s="21" t="n"/>
      <c r="AN16" s="21" t="n"/>
      <c r="AO16" s="20" t="n"/>
      <c r="AP16" s="21" t="n"/>
      <c r="AQ16" s="21" t="n"/>
      <c r="AR16" s="21" t="n"/>
      <c r="AS16" s="20" t="n"/>
      <c r="AT16" s="21" t="n"/>
      <c r="AU16" s="21" t="n"/>
      <c r="AV16" s="21" t="n"/>
      <c r="AW16" s="20" t="n"/>
      <c r="AX16" s="21" t="n"/>
      <c r="AY16" s="21" t="n"/>
      <c r="AZ16" s="21" t="n"/>
      <c r="BA16" s="21" t="n"/>
      <c r="BB16" s="20" t="n"/>
      <c r="BC16" s="21" t="n"/>
      <c r="BD16" s="21" t="n"/>
      <c r="BE16" s="21" t="n"/>
      <c r="BF16" s="20" t="n"/>
      <c r="BG16" s="21" t="n"/>
      <c r="BH16" s="21" t="n"/>
      <c r="BI16" s="21" t="n"/>
      <c r="BJ16" s="20" t="n"/>
      <c r="BK16" s="21" t="n"/>
      <c r="BL16" s="21" t="n"/>
      <c r="BM16" s="21" t="n"/>
      <c r="BN16" s="21" t="n"/>
      <c r="BO16" s="20" t="n"/>
      <c r="BP16" s="21" t="n"/>
      <c r="BQ16" s="21" t="n"/>
      <c r="BR16" s="21" t="n"/>
      <c r="BS16" s="20" t="n"/>
      <c r="BT16" s="21" t="n"/>
      <c r="BU16" s="21" t="n"/>
      <c r="BV16" s="21" t="n"/>
      <c r="BW16" s="21" t="n"/>
      <c r="BX16" s="20" t="n"/>
      <c r="BY16" s="21" t="n"/>
      <c r="BZ16" s="21" t="n"/>
      <c r="CA16" s="21" t="n"/>
    </row>
    <row r="17">
      <c r="A17" t="inlineStr">
        <is>
          <t>B9</t>
        </is>
      </c>
      <c r="B17" s="22" t="inlineStr">
        <is>
          <t>Impermeabilización de cubierta y terrazas</t>
        </is>
      </c>
      <c r="C17" t="inlineStr">
        <is>
          <t>Obra gris</t>
        </is>
      </c>
      <c r="D17" s="3" t="n">
        <v>46</v>
      </c>
      <c r="E17" s="3" t="n">
        <v>2</v>
      </c>
      <c r="F17" s="19">
        <f>DATE(2026,11,2)+7*D17</f>
        <v/>
      </c>
      <c r="G17" s="19">
        <f>F17+7*E17-3</f>
        <v/>
      </c>
      <c r="H17" t="n">
        <v>22</v>
      </c>
      <c r="I17" t="inlineStr"/>
      <c r="J17" s="20" t="n"/>
      <c r="K17" s="21" t="n"/>
      <c r="L17" s="21" t="n"/>
      <c r="M17" s="21" t="n"/>
      <c r="N17" s="21" t="n"/>
      <c r="O17" s="20" t="n"/>
      <c r="P17" s="21" t="n"/>
      <c r="Q17" s="21" t="n"/>
      <c r="R17" s="21" t="n"/>
      <c r="S17" s="20" t="n"/>
      <c r="T17" s="21" t="n"/>
      <c r="U17" s="21" t="n"/>
      <c r="V17" s="21" t="n"/>
      <c r="W17" s="20" t="n"/>
      <c r="X17" s="21" t="n"/>
      <c r="Y17" s="21" t="n"/>
      <c r="Z17" s="21" t="n"/>
      <c r="AA17" s="20" t="n"/>
      <c r="AB17" s="21" t="n"/>
      <c r="AC17" s="21" t="n"/>
      <c r="AD17" s="21" t="n"/>
      <c r="AE17" s="21" t="n"/>
      <c r="AF17" s="20" t="n"/>
      <c r="AG17" s="21" t="n"/>
      <c r="AH17" s="21" t="n"/>
      <c r="AI17" s="21" t="n"/>
      <c r="AJ17" s="20" t="n"/>
      <c r="AK17" s="21" t="n"/>
      <c r="AL17" s="21" t="n"/>
      <c r="AM17" s="21" t="n"/>
      <c r="AN17" s="21" t="n"/>
      <c r="AO17" s="20" t="n"/>
      <c r="AP17" s="21" t="n"/>
      <c r="AQ17" s="21" t="n"/>
      <c r="AR17" s="21" t="n"/>
      <c r="AS17" s="20" t="n"/>
      <c r="AT17" s="21" t="n"/>
      <c r="AU17" s="21" t="n"/>
      <c r="AV17" s="21" t="n"/>
      <c r="AW17" s="20" t="n"/>
      <c r="AX17" s="21" t="n"/>
      <c r="AY17" s="21" t="n"/>
      <c r="AZ17" s="21" t="n"/>
      <c r="BA17" s="21" t="n"/>
      <c r="BB17" s="20" t="n"/>
      <c r="BC17" s="21" t="n"/>
      <c r="BD17" s="21" t="n"/>
      <c r="BE17" s="21" t="n"/>
      <c r="BF17" s="20" t="n"/>
      <c r="BG17" s="21" t="n"/>
      <c r="BH17" s="21" t="n"/>
      <c r="BI17" s="21" t="n"/>
      <c r="BJ17" s="20" t="n"/>
      <c r="BK17" s="21" t="n"/>
      <c r="BL17" s="21" t="n"/>
      <c r="BM17" s="21" t="n"/>
      <c r="BN17" s="21" t="n"/>
      <c r="BO17" s="20" t="n"/>
      <c r="BP17" s="21" t="n"/>
      <c r="BQ17" s="21" t="n"/>
      <c r="BR17" s="21" t="n"/>
      <c r="BS17" s="20" t="n"/>
      <c r="BT17" s="21" t="n"/>
      <c r="BU17" s="21" t="n"/>
      <c r="BV17" s="21" t="n"/>
      <c r="BW17" s="21" t="n"/>
      <c r="BX17" s="20" t="n"/>
      <c r="BY17" s="21" t="n"/>
      <c r="BZ17" s="21" t="n"/>
      <c r="CA17" s="21" t="n"/>
    </row>
    <row r="18">
      <c r="A18" t="inlineStr">
        <is>
          <t>C1</t>
        </is>
      </c>
      <c r="B18" s="14" t="inlineStr">
        <is>
          <t>Pañetes y cielos en drywall</t>
        </is>
      </c>
      <c r="C18" t="inlineStr">
        <is>
          <t>Acabados e instalaciones</t>
        </is>
      </c>
      <c r="D18" s="3" t="n">
        <v>44</v>
      </c>
      <c r="E18" s="3" t="n">
        <v>7</v>
      </c>
      <c r="F18" s="19">
        <f>DATE(2026,11,2)+7*D18</f>
        <v/>
      </c>
      <c r="G18" s="19">
        <f>F18+7*E18-3</f>
        <v/>
      </c>
      <c r="H18" t="n">
        <v>0</v>
      </c>
      <c r="I18" t="inlineStr">
        <is>
          <t>sí</t>
        </is>
      </c>
      <c r="J18" s="20" t="n"/>
      <c r="K18" s="21" t="n"/>
      <c r="L18" s="21" t="n"/>
      <c r="M18" s="21" t="n"/>
      <c r="N18" s="21" t="n"/>
      <c r="O18" s="20" t="n"/>
      <c r="P18" s="21" t="n"/>
      <c r="Q18" s="21" t="n"/>
      <c r="R18" s="21" t="n"/>
      <c r="S18" s="20" t="n"/>
      <c r="T18" s="21" t="n"/>
      <c r="U18" s="21" t="n"/>
      <c r="V18" s="21" t="n"/>
      <c r="W18" s="20" t="n"/>
      <c r="X18" s="21" t="n"/>
      <c r="Y18" s="21" t="n"/>
      <c r="Z18" s="21" t="n"/>
      <c r="AA18" s="20" t="n"/>
      <c r="AB18" s="21" t="n"/>
      <c r="AC18" s="21" t="n"/>
      <c r="AD18" s="21" t="n"/>
      <c r="AE18" s="21" t="n"/>
      <c r="AF18" s="20" t="n"/>
      <c r="AG18" s="21" t="n"/>
      <c r="AH18" s="21" t="n"/>
      <c r="AI18" s="21" t="n"/>
      <c r="AJ18" s="20" t="n"/>
      <c r="AK18" s="21" t="n"/>
      <c r="AL18" s="21" t="n"/>
      <c r="AM18" s="21" t="n"/>
      <c r="AN18" s="21" t="n"/>
      <c r="AO18" s="20" t="n"/>
      <c r="AP18" s="21" t="n"/>
      <c r="AQ18" s="21" t="n"/>
      <c r="AR18" s="21" t="n"/>
      <c r="AS18" s="20" t="n"/>
      <c r="AT18" s="21" t="n"/>
      <c r="AU18" s="21" t="n"/>
      <c r="AV18" s="21" t="n"/>
      <c r="AW18" s="20" t="n"/>
      <c r="AX18" s="21" t="n"/>
      <c r="AY18" s="21" t="n"/>
      <c r="AZ18" s="21" t="n"/>
      <c r="BA18" s="21" t="n"/>
      <c r="BB18" s="20" t="n"/>
      <c r="BC18" s="21" t="n"/>
      <c r="BD18" s="21" t="n"/>
      <c r="BE18" s="21" t="n"/>
      <c r="BF18" s="20" t="n"/>
      <c r="BG18" s="21" t="n"/>
      <c r="BH18" s="21" t="n"/>
      <c r="BI18" s="21" t="n"/>
      <c r="BJ18" s="20" t="n"/>
      <c r="BK18" s="21" t="n"/>
      <c r="BL18" s="21" t="n"/>
      <c r="BM18" s="21" t="n"/>
      <c r="BN18" s="21" t="n"/>
      <c r="BO18" s="20" t="n"/>
      <c r="BP18" s="21" t="n"/>
      <c r="BQ18" s="21" t="n"/>
      <c r="BR18" s="21" t="n"/>
      <c r="BS18" s="20" t="n"/>
      <c r="BT18" s="21" t="n"/>
      <c r="BU18" s="21" t="n"/>
      <c r="BV18" s="21" t="n"/>
      <c r="BW18" s="21" t="n"/>
      <c r="BX18" s="20" t="n"/>
      <c r="BY18" s="21" t="n"/>
      <c r="BZ18" s="21" t="n"/>
      <c r="CA18" s="21" t="n"/>
    </row>
    <row r="19">
      <c r="A19" t="inlineStr">
        <is>
          <t>C2</t>
        </is>
      </c>
      <c r="B19" s="22" t="inlineStr">
        <is>
          <t>Ventanería y muro cortina</t>
        </is>
      </c>
      <c r="C19" t="inlineStr">
        <is>
          <t>Acabados e instalaciones</t>
        </is>
      </c>
      <c r="D19" s="3" t="n">
        <v>47</v>
      </c>
      <c r="E19" s="3" t="n">
        <v>4</v>
      </c>
      <c r="F19" s="19">
        <f>DATE(2026,11,2)+7*D19</f>
        <v/>
      </c>
      <c r="G19" s="19">
        <f>F19+7*E19-3</f>
        <v/>
      </c>
      <c r="H19" t="n">
        <v>16</v>
      </c>
      <c r="I19" t="inlineStr"/>
      <c r="J19" s="20" t="n"/>
      <c r="K19" s="21" t="n"/>
      <c r="L19" s="21" t="n"/>
      <c r="M19" s="21" t="n"/>
      <c r="N19" s="21" t="n"/>
      <c r="O19" s="20" t="n"/>
      <c r="P19" s="21" t="n"/>
      <c r="Q19" s="21" t="n"/>
      <c r="R19" s="21" t="n"/>
      <c r="S19" s="20" t="n"/>
      <c r="T19" s="21" t="n"/>
      <c r="U19" s="21" t="n"/>
      <c r="V19" s="21" t="n"/>
      <c r="W19" s="20" t="n"/>
      <c r="X19" s="21" t="n"/>
      <c r="Y19" s="21" t="n"/>
      <c r="Z19" s="21" t="n"/>
      <c r="AA19" s="20" t="n"/>
      <c r="AB19" s="21" t="n"/>
      <c r="AC19" s="21" t="n"/>
      <c r="AD19" s="21" t="n"/>
      <c r="AE19" s="21" t="n"/>
      <c r="AF19" s="20" t="n"/>
      <c r="AG19" s="21" t="n"/>
      <c r="AH19" s="21" t="n"/>
      <c r="AI19" s="21" t="n"/>
      <c r="AJ19" s="20" t="n"/>
      <c r="AK19" s="21" t="n"/>
      <c r="AL19" s="21" t="n"/>
      <c r="AM19" s="21" t="n"/>
      <c r="AN19" s="21" t="n"/>
      <c r="AO19" s="20" t="n"/>
      <c r="AP19" s="21" t="n"/>
      <c r="AQ19" s="21" t="n"/>
      <c r="AR19" s="21" t="n"/>
      <c r="AS19" s="20" t="n"/>
      <c r="AT19" s="21" t="n"/>
      <c r="AU19" s="21" t="n"/>
      <c r="AV19" s="21" t="n"/>
      <c r="AW19" s="20" t="n"/>
      <c r="AX19" s="21" t="n"/>
      <c r="AY19" s="21" t="n"/>
      <c r="AZ19" s="21" t="n"/>
      <c r="BA19" s="21" t="n"/>
      <c r="BB19" s="20" t="n"/>
      <c r="BC19" s="21" t="n"/>
      <c r="BD19" s="21" t="n"/>
      <c r="BE19" s="21" t="n"/>
      <c r="BF19" s="20" t="n"/>
      <c r="BG19" s="21" t="n"/>
      <c r="BH19" s="21" t="n"/>
      <c r="BI19" s="21" t="n"/>
      <c r="BJ19" s="20" t="n"/>
      <c r="BK19" s="21" t="n"/>
      <c r="BL19" s="21" t="n"/>
      <c r="BM19" s="21" t="n"/>
      <c r="BN19" s="21" t="n"/>
      <c r="BO19" s="20" t="n"/>
      <c r="BP19" s="21" t="n"/>
      <c r="BQ19" s="21" t="n"/>
      <c r="BR19" s="21" t="n"/>
      <c r="BS19" s="20" t="n"/>
      <c r="BT19" s="21" t="n"/>
      <c r="BU19" s="21" t="n"/>
      <c r="BV19" s="21" t="n"/>
      <c r="BW19" s="21" t="n"/>
      <c r="BX19" s="20" t="n"/>
      <c r="BY19" s="21" t="n"/>
      <c r="BZ19" s="21" t="n"/>
      <c r="CA19" s="21" t="n"/>
    </row>
    <row r="20">
      <c r="A20" t="inlineStr">
        <is>
          <t>C3</t>
        </is>
      </c>
      <c r="B20" s="22" t="inlineStr">
        <is>
          <t>Fachada en coralina, concreto visto y listones</t>
        </is>
      </c>
      <c r="C20" t="inlineStr">
        <is>
          <t>Acabados e instalaciones</t>
        </is>
      </c>
      <c r="D20" s="3" t="n">
        <v>46</v>
      </c>
      <c r="E20" s="3" t="n">
        <v>6</v>
      </c>
      <c r="F20" s="19">
        <f>DATE(2026,11,2)+7*D20</f>
        <v/>
      </c>
      <c r="G20" s="19">
        <f>F20+7*E20-3</f>
        <v/>
      </c>
      <c r="H20" t="n">
        <v>18</v>
      </c>
      <c r="I20" t="inlineStr"/>
      <c r="J20" s="20" t="n"/>
      <c r="K20" s="21" t="n"/>
      <c r="L20" s="21" t="n"/>
      <c r="M20" s="21" t="n"/>
      <c r="N20" s="21" t="n"/>
      <c r="O20" s="20" t="n"/>
      <c r="P20" s="21" t="n"/>
      <c r="Q20" s="21" t="n"/>
      <c r="R20" s="21" t="n"/>
      <c r="S20" s="20" t="n"/>
      <c r="T20" s="21" t="n"/>
      <c r="U20" s="21" t="n"/>
      <c r="V20" s="21" t="n"/>
      <c r="W20" s="20" t="n"/>
      <c r="X20" s="21" t="n"/>
      <c r="Y20" s="21" t="n"/>
      <c r="Z20" s="21" t="n"/>
      <c r="AA20" s="20" t="n"/>
      <c r="AB20" s="21" t="n"/>
      <c r="AC20" s="21" t="n"/>
      <c r="AD20" s="21" t="n"/>
      <c r="AE20" s="21" t="n"/>
      <c r="AF20" s="20" t="n"/>
      <c r="AG20" s="21" t="n"/>
      <c r="AH20" s="21" t="n"/>
      <c r="AI20" s="21" t="n"/>
      <c r="AJ20" s="20" t="n"/>
      <c r="AK20" s="21" t="n"/>
      <c r="AL20" s="21" t="n"/>
      <c r="AM20" s="21" t="n"/>
      <c r="AN20" s="21" t="n"/>
      <c r="AO20" s="20" t="n"/>
      <c r="AP20" s="21" t="n"/>
      <c r="AQ20" s="21" t="n"/>
      <c r="AR20" s="21" t="n"/>
      <c r="AS20" s="20" t="n"/>
      <c r="AT20" s="21" t="n"/>
      <c r="AU20" s="21" t="n"/>
      <c r="AV20" s="21" t="n"/>
      <c r="AW20" s="20" t="n"/>
      <c r="AX20" s="21" t="n"/>
      <c r="AY20" s="21" t="n"/>
      <c r="AZ20" s="21" t="n"/>
      <c r="BA20" s="21" t="n"/>
      <c r="BB20" s="20" t="n"/>
      <c r="BC20" s="21" t="n"/>
      <c r="BD20" s="21" t="n"/>
      <c r="BE20" s="21" t="n"/>
      <c r="BF20" s="20" t="n"/>
      <c r="BG20" s="21" t="n"/>
      <c r="BH20" s="21" t="n"/>
      <c r="BI20" s="21" t="n"/>
      <c r="BJ20" s="20" t="n"/>
      <c r="BK20" s="21" t="n"/>
      <c r="BL20" s="21" t="n"/>
      <c r="BM20" s="21" t="n"/>
      <c r="BN20" s="21" t="n"/>
      <c r="BO20" s="20" t="n"/>
      <c r="BP20" s="21" t="n"/>
      <c r="BQ20" s="21" t="n"/>
      <c r="BR20" s="21" t="n"/>
      <c r="BS20" s="20" t="n"/>
      <c r="BT20" s="21" t="n"/>
      <c r="BU20" s="21" t="n"/>
      <c r="BV20" s="21" t="n"/>
      <c r="BW20" s="21" t="n"/>
      <c r="BX20" s="20" t="n"/>
      <c r="BY20" s="21" t="n"/>
      <c r="BZ20" s="21" t="n"/>
      <c r="CA20" s="21" t="n"/>
    </row>
    <row r="21">
      <c r="A21" t="inlineStr">
        <is>
          <t>C4</t>
        </is>
      </c>
      <c r="B21" s="14" t="inlineStr">
        <is>
          <t>Pisos y enchapes (porcelanato, microcemento)</t>
        </is>
      </c>
      <c r="C21" t="inlineStr">
        <is>
          <t>Acabados e instalaciones</t>
        </is>
      </c>
      <c r="D21" s="3" t="n">
        <v>51</v>
      </c>
      <c r="E21" s="3" t="n">
        <v>7</v>
      </c>
      <c r="F21" s="19">
        <f>DATE(2026,11,2)+7*D21</f>
        <v/>
      </c>
      <c r="G21" s="19">
        <f>F21+7*E21-3</f>
        <v/>
      </c>
      <c r="H21" t="n">
        <v>0</v>
      </c>
      <c r="I21" t="inlineStr">
        <is>
          <t>sí</t>
        </is>
      </c>
      <c r="J21" s="20" t="n"/>
      <c r="K21" s="21" t="n"/>
      <c r="L21" s="21" t="n"/>
      <c r="M21" s="21" t="n"/>
      <c r="N21" s="21" t="n"/>
      <c r="O21" s="20" t="n"/>
      <c r="P21" s="21" t="n"/>
      <c r="Q21" s="21" t="n"/>
      <c r="R21" s="21" t="n"/>
      <c r="S21" s="20" t="n"/>
      <c r="T21" s="21" t="n"/>
      <c r="U21" s="21" t="n"/>
      <c r="V21" s="21" t="n"/>
      <c r="W21" s="20" t="n"/>
      <c r="X21" s="21" t="n"/>
      <c r="Y21" s="21" t="n"/>
      <c r="Z21" s="21" t="n"/>
      <c r="AA21" s="20" t="n"/>
      <c r="AB21" s="21" t="n"/>
      <c r="AC21" s="21" t="n"/>
      <c r="AD21" s="21" t="n"/>
      <c r="AE21" s="21" t="n"/>
      <c r="AF21" s="20" t="n"/>
      <c r="AG21" s="21" t="n"/>
      <c r="AH21" s="21" t="n"/>
      <c r="AI21" s="21" t="n"/>
      <c r="AJ21" s="20" t="n"/>
      <c r="AK21" s="21" t="n"/>
      <c r="AL21" s="21" t="n"/>
      <c r="AM21" s="21" t="n"/>
      <c r="AN21" s="21" t="n"/>
      <c r="AO21" s="20" t="n"/>
      <c r="AP21" s="21" t="n"/>
      <c r="AQ21" s="21" t="n"/>
      <c r="AR21" s="21" t="n"/>
      <c r="AS21" s="20" t="n"/>
      <c r="AT21" s="21" t="n"/>
      <c r="AU21" s="21" t="n"/>
      <c r="AV21" s="21" t="n"/>
      <c r="AW21" s="20" t="n"/>
      <c r="AX21" s="21" t="n"/>
      <c r="AY21" s="21" t="n"/>
      <c r="AZ21" s="21" t="n"/>
      <c r="BA21" s="21" t="n"/>
      <c r="BB21" s="20" t="n"/>
      <c r="BC21" s="21" t="n"/>
      <c r="BD21" s="21" t="n"/>
      <c r="BE21" s="21" t="n"/>
      <c r="BF21" s="20" t="n"/>
      <c r="BG21" s="21" t="n"/>
      <c r="BH21" s="21" t="n"/>
      <c r="BI21" s="21" t="n"/>
      <c r="BJ21" s="20" t="n"/>
      <c r="BK21" s="21" t="n"/>
      <c r="BL21" s="21" t="n"/>
      <c r="BM21" s="21" t="n"/>
      <c r="BN21" s="21" t="n"/>
      <c r="BO21" s="20" t="n"/>
      <c r="BP21" s="21" t="n"/>
      <c r="BQ21" s="21" t="n"/>
      <c r="BR21" s="21" t="n"/>
      <c r="BS21" s="20" t="n"/>
      <c r="BT21" s="21" t="n"/>
      <c r="BU21" s="21" t="n"/>
      <c r="BV21" s="21" t="n"/>
      <c r="BW21" s="21" t="n"/>
      <c r="BX21" s="20" t="n"/>
      <c r="BY21" s="21" t="n"/>
      <c r="BZ21" s="21" t="n"/>
      <c r="CA21" s="21" t="n"/>
    </row>
    <row r="22">
      <c r="A22" t="inlineStr">
        <is>
          <t>C5</t>
        </is>
      </c>
      <c r="B22" s="22" t="inlineStr">
        <is>
          <t>Aire acondicionado y sistema solar</t>
        </is>
      </c>
      <c r="C22" t="inlineStr">
        <is>
          <t>Acabados e instalaciones</t>
        </is>
      </c>
      <c r="D22" s="3" t="n">
        <v>51</v>
      </c>
      <c r="E22" s="3" t="n">
        <v>3</v>
      </c>
      <c r="F22" s="19">
        <f>DATE(2026,11,2)+7*D22</f>
        <v/>
      </c>
      <c r="G22" s="19">
        <f>F22+7*E22-3</f>
        <v/>
      </c>
      <c r="H22" t="n">
        <v>16</v>
      </c>
      <c r="I22" t="inlineStr"/>
      <c r="J22" s="20" t="n"/>
      <c r="K22" s="21" t="n"/>
      <c r="L22" s="21" t="n"/>
      <c r="M22" s="21" t="n"/>
      <c r="N22" s="21" t="n"/>
      <c r="O22" s="20" t="n"/>
      <c r="P22" s="21" t="n"/>
      <c r="Q22" s="21" t="n"/>
      <c r="R22" s="21" t="n"/>
      <c r="S22" s="20" t="n"/>
      <c r="T22" s="21" t="n"/>
      <c r="U22" s="21" t="n"/>
      <c r="V22" s="21" t="n"/>
      <c r="W22" s="20" t="n"/>
      <c r="X22" s="21" t="n"/>
      <c r="Y22" s="21" t="n"/>
      <c r="Z22" s="21" t="n"/>
      <c r="AA22" s="20" t="n"/>
      <c r="AB22" s="21" t="n"/>
      <c r="AC22" s="21" t="n"/>
      <c r="AD22" s="21" t="n"/>
      <c r="AE22" s="21" t="n"/>
      <c r="AF22" s="20" t="n"/>
      <c r="AG22" s="21" t="n"/>
      <c r="AH22" s="21" t="n"/>
      <c r="AI22" s="21" t="n"/>
      <c r="AJ22" s="20" t="n"/>
      <c r="AK22" s="21" t="n"/>
      <c r="AL22" s="21" t="n"/>
      <c r="AM22" s="21" t="n"/>
      <c r="AN22" s="21" t="n"/>
      <c r="AO22" s="20" t="n"/>
      <c r="AP22" s="21" t="n"/>
      <c r="AQ22" s="21" t="n"/>
      <c r="AR22" s="21" t="n"/>
      <c r="AS22" s="20" t="n"/>
      <c r="AT22" s="21" t="n"/>
      <c r="AU22" s="21" t="n"/>
      <c r="AV22" s="21" t="n"/>
      <c r="AW22" s="20" t="n"/>
      <c r="AX22" s="21" t="n"/>
      <c r="AY22" s="21" t="n"/>
      <c r="AZ22" s="21" t="n"/>
      <c r="BA22" s="21" t="n"/>
      <c r="BB22" s="20" t="n"/>
      <c r="BC22" s="21" t="n"/>
      <c r="BD22" s="21" t="n"/>
      <c r="BE22" s="21" t="n"/>
      <c r="BF22" s="20" t="n"/>
      <c r="BG22" s="21" t="n"/>
      <c r="BH22" s="21" t="n"/>
      <c r="BI22" s="21" t="n"/>
      <c r="BJ22" s="20" t="n"/>
      <c r="BK22" s="21" t="n"/>
      <c r="BL22" s="21" t="n"/>
      <c r="BM22" s="21" t="n"/>
      <c r="BN22" s="21" t="n"/>
      <c r="BO22" s="20" t="n"/>
      <c r="BP22" s="21" t="n"/>
      <c r="BQ22" s="21" t="n"/>
      <c r="BR22" s="21" t="n"/>
      <c r="BS22" s="20" t="n"/>
      <c r="BT22" s="21" t="n"/>
      <c r="BU22" s="21" t="n"/>
      <c r="BV22" s="21" t="n"/>
      <c r="BW22" s="21" t="n"/>
      <c r="BX22" s="20" t="n"/>
      <c r="BY22" s="21" t="n"/>
      <c r="BZ22" s="21" t="n"/>
      <c r="CA22" s="21" t="n"/>
    </row>
    <row r="23">
      <c r="A23" t="inlineStr">
        <is>
          <t>C6</t>
        </is>
      </c>
      <c r="B23" s="14" t="inlineStr">
        <is>
          <t>Piso de roble y decks de teca</t>
        </is>
      </c>
      <c r="C23" t="inlineStr">
        <is>
          <t>Acabados e instalaciones</t>
        </is>
      </c>
      <c r="D23" s="3" t="n">
        <v>59</v>
      </c>
      <c r="E23" s="3" t="n">
        <v>3</v>
      </c>
      <c r="F23" s="19">
        <f>DATE(2026,11,2)+7*D23</f>
        <v/>
      </c>
      <c r="G23" s="19">
        <f>F23+7*E23-3</f>
        <v/>
      </c>
      <c r="H23" t="n">
        <v>0</v>
      </c>
      <c r="I23" t="inlineStr">
        <is>
          <t>sí</t>
        </is>
      </c>
      <c r="J23" s="20" t="n"/>
      <c r="K23" s="21" t="n"/>
      <c r="L23" s="21" t="n"/>
      <c r="M23" s="21" t="n"/>
      <c r="N23" s="21" t="n"/>
      <c r="O23" s="20" t="n"/>
      <c r="P23" s="21" t="n"/>
      <c r="Q23" s="21" t="n"/>
      <c r="R23" s="21" t="n"/>
      <c r="S23" s="20" t="n"/>
      <c r="T23" s="21" t="n"/>
      <c r="U23" s="21" t="n"/>
      <c r="V23" s="21" t="n"/>
      <c r="W23" s="20" t="n"/>
      <c r="X23" s="21" t="n"/>
      <c r="Y23" s="21" t="n"/>
      <c r="Z23" s="21" t="n"/>
      <c r="AA23" s="20" t="n"/>
      <c r="AB23" s="21" t="n"/>
      <c r="AC23" s="21" t="n"/>
      <c r="AD23" s="21" t="n"/>
      <c r="AE23" s="21" t="n"/>
      <c r="AF23" s="20" t="n"/>
      <c r="AG23" s="21" t="n"/>
      <c r="AH23" s="21" t="n"/>
      <c r="AI23" s="21" t="n"/>
      <c r="AJ23" s="20" t="n"/>
      <c r="AK23" s="21" t="n"/>
      <c r="AL23" s="21" t="n"/>
      <c r="AM23" s="21" t="n"/>
      <c r="AN23" s="21" t="n"/>
      <c r="AO23" s="20" t="n"/>
      <c r="AP23" s="21" t="n"/>
      <c r="AQ23" s="21" t="n"/>
      <c r="AR23" s="21" t="n"/>
      <c r="AS23" s="20" t="n"/>
      <c r="AT23" s="21" t="n"/>
      <c r="AU23" s="21" t="n"/>
      <c r="AV23" s="21" t="n"/>
      <c r="AW23" s="20" t="n"/>
      <c r="AX23" s="21" t="n"/>
      <c r="AY23" s="21" t="n"/>
      <c r="AZ23" s="21" t="n"/>
      <c r="BA23" s="21" t="n"/>
      <c r="BB23" s="20" t="n"/>
      <c r="BC23" s="21" t="n"/>
      <c r="BD23" s="21" t="n"/>
      <c r="BE23" s="21" t="n"/>
      <c r="BF23" s="20" t="n"/>
      <c r="BG23" s="21" t="n"/>
      <c r="BH23" s="21" t="n"/>
      <c r="BI23" s="21" t="n"/>
      <c r="BJ23" s="20" t="n"/>
      <c r="BK23" s="21" t="n"/>
      <c r="BL23" s="21" t="n"/>
      <c r="BM23" s="21" t="n"/>
      <c r="BN23" s="21" t="n"/>
      <c r="BO23" s="20" t="n"/>
      <c r="BP23" s="21" t="n"/>
      <c r="BQ23" s="21" t="n"/>
      <c r="BR23" s="21" t="n"/>
      <c r="BS23" s="20" t="n"/>
      <c r="BT23" s="21" t="n"/>
      <c r="BU23" s="21" t="n"/>
      <c r="BV23" s="21" t="n"/>
      <c r="BW23" s="21" t="n"/>
      <c r="BX23" s="20" t="n"/>
      <c r="BY23" s="21" t="n"/>
      <c r="BZ23" s="21" t="n"/>
      <c r="CA23" s="21" t="n"/>
    </row>
    <row r="24">
      <c r="A24" t="inlineStr">
        <is>
          <t>C7</t>
        </is>
      </c>
      <c r="B24" s="14" t="inlineStr">
        <is>
          <t>Carpintería: cocina, closets y puertas</t>
        </is>
      </c>
      <c r="C24" t="inlineStr">
        <is>
          <t>Acabados e instalaciones</t>
        </is>
      </c>
      <c r="D24" s="3" t="n">
        <v>60</v>
      </c>
      <c r="E24" s="3" t="n">
        <v>4</v>
      </c>
      <c r="F24" s="19">
        <f>DATE(2026,11,2)+7*D24</f>
        <v/>
      </c>
      <c r="G24" s="19">
        <f>F24+7*E24-3</f>
        <v/>
      </c>
      <c r="H24" t="n">
        <v>0</v>
      </c>
      <c r="I24" t="inlineStr">
        <is>
          <t>sí</t>
        </is>
      </c>
      <c r="J24" s="20" t="n"/>
      <c r="K24" s="21" t="n"/>
      <c r="L24" s="21" t="n"/>
      <c r="M24" s="21" t="n"/>
      <c r="N24" s="21" t="n"/>
      <c r="O24" s="20" t="n"/>
      <c r="P24" s="21" t="n"/>
      <c r="Q24" s="21" t="n"/>
      <c r="R24" s="21" t="n"/>
      <c r="S24" s="20" t="n"/>
      <c r="T24" s="21" t="n"/>
      <c r="U24" s="21" t="n"/>
      <c r="V24" s="21" t="n"/>
      <c r="W24" s="20" t="n"/>
      <c r="X24" s="21" t="n"/>
      <c r="Y24" s="21" t="n"/>
      <c r="Z24" s="21" t="n"/>
      <c r="AA24" s="20" t="n"/>
      <c r="AB24" s="21" t="n"/>
      <c r="AC24" s="21" t="n"/>
      <c r="AD24" s="21" t="n"/>
      <c r="AE24" s="21" t="n"/>
      <c r="AF24" s="20" t="n"/>
      <c r="AG24" s="21" t="n"/>
      <c r="AH24" s="21" t="n"/>
      <c r="AI24" s="21" t="n"/>
      <c r="AJ24" s="20" t="n"/>
      <c r="AK24" s="21" t="n"/>
      <c r="AL24" s="21" t="n"/>
      <c r="AM24" s="21" t="n"/>
      <c r="AN24" s="21" t="n"/>
      <c r="AO24" s="20" t="n"/>
      <c r="AP24" s="21" t="n"/>
      <c r="AQ24" s="21" t="n"/>
      <c r="AR24" s="21" t="n"/>
      <c r="AS24" s="20" t="n"/>
      <c r="AT24" s="21" t="n"/>
      <c r="AU24" s="21" t="n"/>
      <c r="AV24" s="21" t="n"/>
      <c r="AW24" s="20" t="n"/>
      <c r="AX24" s="21" t="n"/>
      <c r="AY24" s="21" t="n"/>
      <c r="AZ24" s="21" t="n"/>
      <c r="BA24" s="21" t="n"/>
      <c r="BB24" s="20" t="n"/>
      <c r="BC24" s="21" t="n"/>
      <c r="BD24" s="21" t="n"/>
      <c r="BE24" s="21" t="n"/>
      <c r="BF24" s="20" t="n"/>
      <c r="BG24" s="21" t="n"/>
      <c r="BH24" s="21" t="n"/>
      <c r="BI24" s="21" t="n"/>
      <c r="BJ24" s="20" t="n"/>
      <c r="BK24" s="21" t="n"/>
      <c r="BL24" s="21" t="n"/>
      <c r="BM24" s="21" t="n"/>
      <c r="BN24" s="21" t="n"/>
      <c r="BO24" s="20" t="n"/>
      <c r="BP24" s="21" t="n"/>
      <c r="BQ24" s="21" t="n"/>
      <c r="BR24" s="21" t="n"/>
      <c r="BS24" s="20" t="n"/>
      <c r="BT24" s="21" t="n"/>
      <c r="BU24" s="21" t="n"/>
      <c r="BV24" s="21" t="n"/>
      <c r="BW24" s="21" t="n"/>
      <c r="BX24" s="20" t="n"/>
      <c r="BY24" s="21" t="n"/>
      <c r="BZ24" s="21" t="n"/>
      <c r="CA24" s="21" t="n"/>
    </row>
    <row r="25">
      <c r="A25" t="inlineStr">
        <is>
          <t>C8</t>
        </is>
      </c>
      <c r="B25" s="14" t="inlineStr">
        <is>
          <t>Estuco, pintura y barandas de vidrio</t>
        </is>
      </c>
      <c r="C25" t="inlineStr">
        <is>
          <t>Acabados e instalaciones</t>
        </is>
      </c>
      <c r="D25" s="3" t="n">
        <v>62</v>
      </c>
      <c r="E25" s="3" t="n">
        <v>4</v>
      </c>
      <c r="F25" s="19">
        <f>DATE(2026,11,2)+7*D25</f>
        <v/>
      </c>
      <c r="G25" s="19">
        <f>F25+7*E25-3</f>
        <v/>
      </c>
      <c r="H25" t="n">
        <v>0</v>
      </c>
      <c r="I25" t="inlineStr">
        <is>
          <t>sí</t>
        </is>
      </c>
      <c r="J25" s="20" t="n"/>
      <c r="K25" s="21" t="n"/>
      <c r="L25" s="21" t="n"/>
      <c r="M25" s="21" t="n"/>
      <c r="N25" s="21" t="n"/>
      <c r="O25" s="20" t="n"/>
      <c r="P25" s="21" t="n"/>
      <c r="Q25" s="21" t="n"/>
      <c r="R25" s="21" t="n"/>
      <c r="S25" s="20" t="n"/>
      <c r="T25" s="21" t="n"/>
      <c r="U25" s="21" t="n"/>
      <c r="V25" s="21" t="n"/>
      <c r="W25" s="20" t="n"/>
      <c r="X25" s="21" t="n"/>
      <c r="Y25" s="21" t="n"/>
      <c r="Z25" s="21" t="n"/>
      <c r="AA25" s="20" t="n"/>
      <c r="AB25" s="21" t="n"/>
      <c r="AC25" s="21" t="n"/>
      <c r="AD25" s="21" t="n"/>
      <c r="AE25" s="21" t="n"/>
      <c r="AF25" s="20" t="n"/>
      <c r="AG25" s="21" t="n"/>
      <c r="AH25" s="21" t="n"/>
      <c r="AI25" s="21" t="n"/>
      <c r="AJ25" s="20" t="n"/>
      <c r="AK25" s="21" t="n"/>
      <c r="AL25" s="21" t="n"/>
      <c r="AM25" s="21" t="n"/>
      <c r="AN25" s="21" t="n"/>
      <c r="AO25" s="20" t="n"/>
      <c r="AP25" s="21" t="n"/>
      <c r="AQ25" s="21" t="n"/>
      <c r="AR25" s="21" t="n"/>
      <c r="AS25" s="20" t="n"/>
      <c r="AT25" s="21" t="n"/>
      <c r="AU25" s="21" t="n"/>
      <c r="AV25" s="21" t="n"/>
      <c r="AW25" s="20" t="n"/>
      <c r="AX25" s="21" t="n"/>
      <c r="AY25" s="21" t="n"/>
      <c r="AZ25" s="21" t="n"/>
      <c r="BA25" s="21" t="n"/>
      <c r="BB25" s="20" t="n"/>
      <c r="BC25" s="21" t="n"/>
      <c r="BD25" s="21" t="n"/>
      <c r="BE25" s="21" t="n"/>
      <c r="BF25" s="20" t="n"/>
      <c r="BG25" s="21" t="n"/>
      <c r="BH25" s="21" t="n"/>
      <c r="BI25" s="21" t="n"/>
      <c r="BJ25" s="20" t="n"/>
      <c r="BK25" s="21" t="n"/>
      <c r="BL25" s="21" t="n"/>
      <c r="BM25" s="21" t="n"/>
      <c r="BN25" s="21" t="n"/>
      <c r="BO25" s="20" t="n"/>
      <c r="BP25" s="21" t="n"/>
      <c r="BQ25" s="21" t="n"/>
      <c r="BR25" s="21" t="n"/>
      <c r="BS25" s="20" t="n"/>
      <c r="BT25" s="21" t="n"/>
      <c r="BU25" s="21" t="n"/>
      <c r="BV25" s="21" t="n"/>
      <c r="BW25" s="21" t="n"/>
      <c r="BX25" s="20" t="n"/>
      <c r="BY25" s="21" t="n"/>
      <c r="BZ25" s="21" t="n"/>
      <c r="CA25" s="21" t="n"/>
    </row>
    <row r="26">
      <c r="A26" t="inlineStr">
        <is>
          <t>C9</t>
        </is>
      </c>
      <c r="B26" s="14" t="inlineStr">
        <is>
          <t>Aparatos, griferías, iluminación y domótica</t>
        </is>
      </c>
      <c r="C26" t="inlineStr">
        <is>
          <t>Acabados e instalaciones</t>
        </is>
      </c>
      <c r="D26" s="3" t="n">
        <v>64</v>
      </c>
      <c r="E26" s="3" t="n">
        <v>3</v>
      </c>
      <c r="F26" s="19">
        <f>DATE(2026,11,2)+7*D26</f>
        <v/>
      </c>
      <c r="G26" s="19">
        <f>F26+7*E26-3</f>
        <v/>
      </c>
      <c r="H26" t="n">
        <v>0</v>
      </c>
      <c r="I26" t="inlineStr">
        <is>
          <t>sí</t>
        </is>
      </c>
      <c r="J26" s="20" t="n"/>
      <c r="K26" s="21" t="n"/>
      <c r="L26" s="21" t="n"/>
      <c r="M26" s="21" t="n"/>
      <c r="N26" s="21" t="n"/>
      <c r="O26" s="20" t="n"/>
      <c r="P26" s="21" t="n"/>
      <c r="Q26" s="21" t="n"/>
      <c r="R26" s="21" t="n"/>
      <c r="S26" s="20" t="n"/>
      <c r="T26" s="21" t="n"/>
      <c r="U26" s="21" t="n"/>
      <c r="V26" s="21" t="n"/>
      <c r="W26" s="20" t="n"/>
      <c r="X26" s="21" t="n"/>
      <c r="Y26" s="21" t="n"/>
      <c r="Z26" s="21" t="n"/>
      <c r="AA26" s="20" t="n"/>
      <c r="AB26" s="21" t="n"/>
      <c r="AC26" s="21" t="n"/>
      <c r="AD26" s="21" t="n"/>
      <c r="AE26" s="21" t="n"/>
      <c r="AF26" s="20" t="n"/>
      <c r="AG26" s="21" t="n"/>
      <c r="AH26" s="21" t="n"/>
      <c r="AI26" s="21" t="n"/>
      <c r="AJ26" s="20" t="n"/>
      <c r="AK26" s="21" t="n"/>
      <c r="AL26" s="21" t="n"/>
      <c r="AM26" s="21" t="n"/>
      <c r="AN26" s="21" t="n"/>
      <c r="AO26" s="20" t="n"/>
      <c r="AP26" s="21" t="n"/>
      <c r="AQ26" s="21" t="n"/>
      <c r="AR26" s="21" t="n"/>
      <c r="AS26" s="20" t="n"/>
      <c r="AT26" s="21" t="n"/>
      <c r="AU26" s="21" t="n"/>
      <c r="AV26" s="21" t="n"/>
      <c r="AW26" s="20" t="n"/>
      <c r="AX26" s="21" t="n"/>
      <c r="AY26" s="21" t="n"/>
      <c r="AZ26" s="21" t="n"/>
      <c r="BA26" s="21" t="n"/>
      <c r="BB26" s="20" t="n"/>
      <c r="BC26" s="21" t="n"/>
      <c r="BD26" s="21" t="n"/>
      <c r="BE26" s="21" t="n"/>
      <c r="BF26" s="20" t="n"/>
      <c r="BG26" s="21" t="n"/>
      <c r="BH26" s="21" t="n"/>
      <c r="BI26" s="21" t="n"/>
      <c r="BJ26" s="20" t="n"/>
      <c r="BK26" s="21" t="n"/>
      <c r="BL26" s="21" t="n"/>
      <c r="BM26" s="21" t="n"/>
      <c r="BN26" s="21" t="n"/>
      <c r="BO26" s="20" t="n"/>
      <c r="BP26" s="21" t="n"/>
      <c r="BQ26" s="21" t="n"/>
      <c r="BR26" s="21" t="n"/>
      <c r="BS26" s="20" t="n"/>
      <c r="BT26" s="21" t="n"/>
      <c r="BU26" s="21" t="n"/>
      <c r="BV26" s="21" t="n"/>
      <c r="BW26" s="21" t="n"/>
      <c r="BX26" s="20" t="n"/>
      <c r="BY26" s="21" t="n"/>
      <c r="BZ26" s="21" t="n"/>
      <c r="CA26" s="21" t="n"/>
    </row>
    <row r="27">
      <c r="A27" t="inlineStr">
        <is>
          <t>D1</t>
        </is>
      </c>
      <c r="B27" s="22" t="inlineStr">
        <is>
          <t>Acabados y equipos de la piscina</t>
        </is>
      </c>
      <c r="C27" t="inlineStr">
        <is>
          <t>Exteriores y entrega</t>
        </is>
      </c>
      <c r="D27" s="3" t="n">
        <v>53</v>
      </c>
      <c r="E27" s="3" t="n">
        <v>4</v>
      </c>
      <c r="F27" s="19">
        <f>DATE(2026,11,2)+7*D27</f>
        <v/>
      </c>
      <c r="G27" s="19">
        <f>F27+7*E27-3</f>
        <v/>
      </c>
      <c r="H27" t="n">
        <v>11</v>
      </c>
      <c r="I27" t="inlineStr"/>
      <c r="J27" s="20" t="n"/>
      <c r="K27" s="21" t="n"/>
      <c r="L27" s="21" t="n"/>
      <c r="M27" s="21" t="n"/>
      <c r="N27" s="21" t="n"/>
      <c r="O27" s="20" t="n"/>
      <c r="P27" s="21" t="n"/>
      <c r="Q27" s="21" t="n"/>
      <c r="R27" s="21" t="n"/>
      <c r="S27" s="20" t="n"/>
      <c r="T27" s="21" t="n"/>
      <c r="U27" s="21" t="n"/>
      <c r="V27" s="21" t="n"/>
      <c r="W27" s="20" t="n"/>
      <c r="X27" s="21" t="n"/>
      <c r="Y27" s="21" t="n"/>
      <c r="Z27" s="21" t="n"/>
      <c r="AA27" s="20" t="n"/>
      <c r="AB27" s="21" t="n"/>
      <c r="AC27" s="21" t="n"/>
      <c r="AD27" s="21" t="n"/>
      <c r="AE27" s="21" t="n"/>
      <c r="AF27" s="20" t="n"/>
      <c r="AG27" s="21" t="n"/>
      <c r="AH27" s="21" t="n"/>
      <c r="AI27" s="21" t="n"/>
      <c r="AJ27" s="20" t="n"/>
      <c r="AK27" s="21" t="n"/>
      <c r="AL27" s="21" t="n"/>
      <c r="AM27" s="21" t="n"/>
      <c r="AN27" s="21" t="n"/>
      <c r="AO27" s="20" t="n"/>
      <c r="AP27" s="21" t="n"/>
      <c r="AQ27" s="21" t="n"/>
      <c r="AR27" s="21" t="n"/>
      <c r="AS27" s="20" t="n"/>
      <c r="AT27" s="21" t="n"/>
      <c r="AU27" s="21" t="n"/>
      <c r="AV27" s="21" t="n"/>
      <c r="AW27" s="20" t="n"/>
      <c r="AX27" s="21" t="n"/>
      <c r="AY27" s="21" t="n"/>
      <c r="AZ27" s="21" t="n"/>
      <c r="BA27" s="21" t="n"/>
      <c r="BB27" s="20" t="n"/>
      <c r="BC27" s="21" t="n"/>
      <c r="BD27" s="21" t="n"/>
      <c r="BE27" s="21" t="n"/>
      <c r="BF27" s="20" t="n"/>
      <c r="BG27" s="21" t="n"/>
      <c r="BH27" s="21" t="n"/>
      <c r="BI27" s="21" t="n"/>
      <c r="BJ27" s="20" t="n"/>
      <c r="BK27" s="21" t="n"/>
      <c r="BL27" s="21" t="n"/>
      <c r="BM27" s="21" t="n"/>
      <c r="BN27" s="21" t="n"/>
      <c r="BO27" s="20" t="n"/>
      <c r="BP27" s="21" t="n"/>
      <c r="BQ27" s="21" t="n"/>
      <c r="BR27" s="21" t="n"/>
      <c r="BS27" s="20" t="n"/>
      <c r="BT27" s="21" t="n"/>
      <c r="BU27" s="21" t="n"/>
      <c r="BV27" s="21" t="n"/>
      <c r="BW27" s="21" t="n"/>
      <c r="BX27" s="20" t="n"/>
      <c r="BY27" s="21" t="n"/>
      <c r="BZ27" s="21" t="n"/>
      <c r="CA27" s="21" t="n"/>
    </row>
    <row r="28">
      <c r="A28" t="inlineStr">
        <is>
          <t>D2</t>
        </is>
      </c>
      <c r="B28" s="14" t="inlineStr">
        <is>
          <t>Exteriores, travertino y paisajismo</t>
        </is>
      </c>
      <c r="C28" t="inlineStr">
        <is>
          <t>Exteriores y entrega</t>
        </is>
      </c>
      <c r="D28" s="3" t="n">
        <v>63</v>
      </c>
      <c r="E28" s="3" t="n">
        <v>5</v>
      </c>
      <c r="F28" s="19">
        <f>DATE(2026,11,2)+7*D28</f>
        <v/>
      </c>
      <c r="G28" s="19">
        <f>F28+7*E28-3</f>
        <v/>
      </c>
      <c r="H28" t="n">
        <v>0</v>
      </c>
      <c r="I28" t="inlineStr">
        <is>
          <t>sí</t>
        </is>
      </c>
      <c r="J28" s="20" t="n"/>
      <c r="K28" s="21" t="n"/>
      <c r="L28" s="21" t="n"/>
      <c r="M28" s="21" t="n"/>
      <c r="N28" s="21" t="n"/>
      <c r="O28" s="20" t="n"/>
      <c r="P28" s="21" t="n"/>
      <c r="Q28" s="21" t="n"/>
      <c r="R28" s="21" t="n"/>
      <c r="S28" s="20" t="n"/>
      <c r="T28" s="21" t="n"/>
      <c r="U28" s="21" t="n"/>
      <c r="V28" s="21" t="n"/>
      <c r="W28" s="20" t="n"/>
      <c r="X28" s="21" t="n"/>
      <c r="Y28" s="21" t="n"/>
      <c r="Z28" s="21" t="n"/>
      <c r="AA28" s="20" t="n"/>
      <c r="AB28" s="21" t="n"/>
      <c r="AC28" s="21" t="n"/>
      <c r="AD28" s="21" t="n"/>
      <c r="AE28" s="21" t="n"/>
      <c r="AF28" s="20" t="n"/>
      <c r="AG28" s="21" t="n"/>
      <c r="AH28" s="21" t="n"/>
      <c r="AI28" s="21" t="n"/>
      <c r="AJ28" s="20" t="n"/>
      <c r="AK28" s="21" t="n"/>
      <c r="AL28" s="21" t="n"/>
      <c r="AM28" s="21" t="n"/>
      <c r="AN28" s="21" t="n"/>
      <c r="AO28" s="20" t="n"/>
      <c r="AP28" s="21" t="n"/>
      <c r="AQ28" s="21" t="n"/>
      <c r="AR28" s="21" t="n"/>
      <c r="AS28" s="20" t="n"/>
      <c r="AT28" s="21" t="n"/>
      <c r="AU28" s="21" t="n"/>
      <c r="AV28" s="21" t="n"/>
      <c r="AW28" s="20" t="n"/>
      <c r="AX28" s="21" t="n"/>
      <c r="AY28" s="21" t="n"/>
      <c r="AZ28" s="21" t="n"/>
      <c r="BA28" s="21" t="n"/>
      <c r="BB28" s="20" t="n"/>
      <c r="BC28" s="21" t="n"/>
      <c r="BD28" s="21" t="n"/>
      <c r="BE28" s="21" t="n"/>
      <c r="BF28" s="20" t="n"/>
      <c r="BG28" s="21" t="n"/>
      <c r="BH28" s="21" t="n"/>
      <c r="BI28" s="21" t="n"/>
      <c r="BJ28" s="20" t="n"/>
      <c r="BK28" s="21" t="n"/>
      <c r="BL28" s="21" t="n"/>
      <c r="BM28" s="21" t="n"/>
      <c r="BN28" s="21" t="n"/>
      <c r="BO28" s="20" t="n"/>
      <c r="BP28" s="21" t="n"/>
      <c r="BQ28" s="21" t="n"/>
      <c r="BR28" s="21" t="n"/>
      <c r="BS28" s="20" t="n"/>
      <c r="BT28" s="21" t="n"/>
      <c r="BU28" s="21" t="n"/>
      <c r="BV28" s="21" t="n"/>
      <c r="BW28" s="21" t="n"/>
      <c r="BX28" s="20" t="n"/>
      <c r="BY28" s="21" t="n"/>
      <c r="BZ28" s="21" t="n"/>
      <c r="CA28" s="21" t="n"/>
    </row>
    <row r="29">
      <c r="A29" t="inlineStr">
        <is>
          <t>D3</t>
        </is>
      </c>
      <c r="B29" s="14" t="inlineStr">
        <is>
          <t>Acometidas definitivas, RETIE y pruebas</t>
        </is>
      </c>
      <c r="C29" t="inlineStr">
        <is>
          <t>Exteriores y entrega</t>
        </is>
      </c>
      <c r="D29" s="3" t="n">
        <v>65</v>
      </c>
      <c r="E29" s="3" t="n">
        <v>3</v>
      </c>
      <c r="F29" s="19">
        <f>DATE(2026,11,2)+7*D29</f>
        <v/>
      </c>
      <c r="G29" s="19">
        <f>F29+7*E29-3</f>
        <v/>
      </c>
      <c r="H29" t="n">
        <v>0</v>
      </c>
      <c r="I29" t="inlineStr">
        <is>
          <t>sí</t>
        </is>
      </c>
      <c r="J29" s="20" t="n"/>
      <c r="K29" s="21" t="n"/>
      <c r="L29" s="21" t="n"/>
      <c r="M29" s="21" t="n"/>
      <c r="N29" s="21" t="n"/>
      <c r="O29" s="20" t="n"/>
      <c r="P29" s="21" t="n"/>
      <c r="Q29" s="21" t="n"/>
      <c r="R29" s="21" t="n"/>
      <c r="S29" s="20" t="n"/>
      <c r="T29" s="21" t="n"/>
      <c r="U29" s="21" t="n"/>
      <c r="V29" s="21" t="n"/>
      <c r="W29" s="20" t="n"/>
      <c r="X29" s="21" t="n"/>
      <c r="Y29" s="21" t="n"/>
      <c r="Z29" s="21" t="n"/>
      <c r="AA29" s="20" t="n"/>
      <c r="AB29" s="21" t="n"/>
      <c r="AC29" s="21" t="n"/>
      <c r="AD29" s="21" t="n"/>
      <c r="AE29" s="21" t="n"/>
      <c r="AF29" s="20" t="n"/>
      <c r="AG29" s="21" t="n"/>
      <c r="AH29" s="21" t="n"/>
      <c r="AI29" s="21" t="n"/>
      <c r="AJ29" s="20" t="n"/>
      <c r="AK29" s="21" t="n"/>
      <c r="AL29" s="21" t="n"/>
      <c r="AM29" s="21" t="n"/>
      <c r="AN29" s="21" t="n"/>
      <c r="AO29" s="20" t="n"/>
      <c r="AP29" s="21" t="n"/>
      <c r="AQ29" s="21" t="n"/>
      <c r="AR29" s="21" t="n"/>
      <c r="AS29" s="20" t="n"/>
      <c r="AT29" s="21" t="n"/>
      <c r="AU29" s="21" t="n"/>
      <c r="AV29" s="21" t="n"/>
      <c r="AW29" s="20" t="n"/>
      <c r="AX29" s="21" t="n"/>
      <c r="AY29" s="21" t="n"/>
      <c r="AZ29" s="21" t="n"/>
      <c r="BA29" s="21" t="n"/>
      <c r="BB29" s="20" t="n"/>
      <c r="BC29" s="21" t="n"/>
      <c r="BD29" s="21" t="n"/>
      <c r="BE29" s="21" t="n"/>
      <c r="BF29" s="20" t="n"/>
      <c r="BG29" s="21" t="n"/>
      <c r="BH29" s="21" t="n"/>
      <c r="BI29" s="21" t="n"/>
      <c r="BJ29" s="20" t="n"/>
      <c r="BK29" s="21" t="n"/>
      <c r="BL29" s="21" t="n"/>
      <c r="BM29" s="21" t="n"/>
      <c r="BN29" s="21" t="n"/>
      <c r="BO29" s="20" t="n"/>
      <c r="BP29" s="21" t="n"/>
      <c r="BQ29" s="21" t="n"/>
      <c r="BR29" s="21" t="n"/>
      <c r="BS29" s="20" t="n"/>
      <c r="BT29" s="21" t="n"/>
      <c r="BU29" s="21" t="n"/>
      <c r="BV29" s="21" t="n"/>
      <c r="BW29" s="21" t="n"/>
      <c r="BX29" s="20" t="n"/>
      <c r="BY29" s="21" t="n"/>
      <c r="BZ29" s="21" t="n"/>
      <c r="CA29" s="21" t="n"/>
    </row>
    <row r="30">
      <c r="A30" t="inlineStr">
        <is>
          <t>D4</t>
        </is>
      </c>
      <c r="B30" s="14" t="inlineStr">
        <is>
          <t>Aseo, revisión y entrega</t>
        </is>
      </c>
      <c r="C30" t="inlineStr">
        <is>
          <t>Exteriores y entrega</t>
        </is>
      </c>
      <c r="D30" s="3" t="n">
        <v>68</v>
      </c>
      <c r="E30" s="3" t="n">
        <v>2</v>
      </c>
      <c r="F30" s="19">
        <f>DATE(2026,11,2)+7*D30</f>
        <v/>
      </c>
      <c r="G30" s="19">
        <f>F30+7*E30-3</f>
        <v/>
      </c>
      <c r="H30" t="n">
        <v>0</v>
      </c>
      <c r="I30" t="inlineStr">
        <is>
          <t>sí</t>
        </is>
      </c>
      <c r="J30" s="20" t="n"/>
      <c r="K30" s="21" t="n"/>
      <c r="L30" s="21" t="n"/>
      <c r="M30" s="21" t="n"/>
      <c r="N30" s="21" t="n"/>
      <c r="O30" s="20" t="n"/>
      <c r="P30" s="21" t="n"/>
      <c r="Q30" s="21" t="n"/>
      <c r="R30" s="21" t="n"/>
      <c r="S30" s="20" t="n"/>
      <c r="T30" s="21" t="n"/>
      <c r="U30" s="21" t="n"/>
      <c r="V30" s="21" t="n"/>
      <c r="W30" s="20" t="n"/>
      <c r="X30" s="21" t="n"/>
      <c r="Y30" s="21" t="n"/>
      <c r="Z30" s="21" t="n"/>
      <c r="AA30" s="20" t="n"/>
      <c r="AB30" s="21" t="n"/>
      <c r="AC30" s="21" t="n"/>
      <c r="AD30" s="21" t="n"/>
      <c r="AE30" s="21" t="n"/>
      <c r="AF30" s="20" t="n"/>
      <c r="AG30" s="21" t="n"/>
      <c r="AH30" s="21" t="n"/>
      <c r="AI30" s="21" t="n"/>
      <c r="AJ30" s="20" t="n"/>
      <c r="AK30" s="21" t="n"/>
      <c r="AL30" s="21" t="n"/>
      <c r="AM30" s="21" t="n"/>
      <c r="AN30" s="21" t="n"/>
      <c r="AO30" s="20" t="n"/>
      <c r="AP30" s="21" t="n"/>
      <c r="AQ30" s="21" t="n"/>
      <c r="AR30" s="21" t="n"/>
      <c r="AS30" s="20" t="n"/>
      <c r="AT30" s="21" t="n"/>
      <c r="AU30" s="21" t="n"/>
      <c r="AV30" s="21" t="n"/>
      <c r="AW30" s="20" t="n"/>
      <c r="AX30" s="21" t="n"/>
      <c r="AY30" s="21" t="n"/>
      <c r="AZ30" s="21" t="n"/>
      <c r="BA30" s="21" t="n"/>
      <c r="BB30" s="20" t="n"/>
      <c r="BC30" s="21" t="n"/>
      <c r="BD30" s="21" t="n"/>
      <c r="BE30" s="21" t="n"/>
      <c r="BF30" s="20" t="n"/>
      <c r="BG30" s="21" t="n"/>
      <c r="BH30" s="21" t="n"/>
      <c r="BI30" s="21" t="n"/>
      <c r="BJ30" s="20" t="n"/>
      <c r="BK30" s="21" t="n"/>
      <c r="BL30" s="21" t="n"/>
      <c r="BM30" s="21" t="n"/>
      <c r="BN30" s="21" t="n"/>
      <c r="BO30" s="20" t="n"/>
      <c r="BP30" s="21" t="n"/>
      <c r="BQ30" s="21" t="n"/>
      <c r="BR30" s="21" t="n"/>
      <c r="BS30" s="20" t="n"/>
      <c r="BT30" s="21" t="n"/>
      <c r="BU30" s="21" t="n"/>
      <c r="BV30" s="21" t="n"/>
      <c r="BW30" s="21" t="n"/>
      <c r="BX30" s="20" t="n"/>
      <c r="BY30" s="21" t="n"/>
      <c r="BZ30" s="21" t="n"/>
      <c r="CA30" s="21" t="n"/>
    </row>
    <row r="32">
      <c r="B32" s="14" t="inlineStr">
        <is>
          <t>Hitos</t>
        </is>
      </c>
    </row>
    <row r="33">
      <c r="B33" t="inlineStr">
        <is>
          <t>Licencia aprobada</t>
        </is>
      </c>
      <c r="F33" s="19" t="n">
        <v>46486</v>
      </c>
      <c r="AF33" s="23" t="inlineStr">
        <is>
          <t>◆</t>
        </is>
      </c>
    </row>
    <row r="34">
      <c r="B34" t="inlineStr">
        <is>
          <t>Estructura terminada</t>
        </is>
      </c>
      <c r="F34" s="19" t="n">
        <v>46633</v>
      </c>
      <c r="BA34" s="23" t="inlineStr">
        <is>
          <t>◆</t>
        </is>
      </c>
    </row>
    <row r="35">
      <c r="B35" t="inlineStr">
        <is>
          <t>Casa cerrada (ventanería)</t>
        </is>
      </c>
      <c r="F35" s="19" t="n">
        <v>46682</v>
      </c>
      <c r="BH35" s="23" t="inlineStr">
        <is>
          <t>◆</t>
        </is>
      </c>
    </row>
    <row r="36">
      <c r="B36" t="inlineStr">
        <is>
          <t>Entrega</t>
        </is>
      </c>
      <c r="F36" s="19" t="n">
        <v>46815</v>
      </c>
      <c r="CA36" s="23" t="inlineStr">
        <is>
          <t>◆</t>
        </is>
      </c>
    </row>
  </sheetData>
  <conditionalFormatting sqref="J5:CA30">
    <cfRule type="expression" priority="1" dxfId="0">
      <formula>AND(J$4&gt;=$D5,J$4&lt;$D5+$E5,$C5="Diseño y licencia")</formula>
    </cfRule>
    <cfRule type="expression" priority="2" dxfId="1">
      <formula>AND(J$4&gt;=$D5,J$4&lt;$D5+$E5,$C5="Obra gris")</formula>
    </cfRule>
    <cfRule type="expression" priority="3" dxfId="2">
      <formula>AND(J$4&gt;=$D5,J$4&lt;$D5+$E5,$C5="Acabados e instalaciones")</formula>
    </cfRule>
    <cfRule type="expression" priority="4" dxfId="3">
      <formula>AND(J$4&gt;=$D5,J$4&lt;$D5+$E5,$C5="Exteriores y entrega")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Mes</t>
        </is>
      </c>
      <c r="B1" s="2" t="inlineStr">
        <is>
          <t>Bajo</t>
        </is>
      </c>
      <c r="C1" s="2" t="inlineStr">
        <is>
          <t>Medio</t>
        </is>
      </c>
      <c r="D1" s="2" t="inlineStr">
        <is>
          <t>Alto</t>
        </is>
      </c>
      <c r="E1" s="2" t="inlineStr">
        <is>
          <t>Acumulado medio</t>
        </is>
      </c>
      <c r="F1" s="2" t="inlineStr">
        <is>
          <t>% acumulado medio</t>
        </is>
      </c>
    </row>
    <row r="2">
      <c r="A2" t="inlineStr">
        <is>
          <t>2026-11</t>
        </is>
      </c>
      <c r="B2" s="6" t="n">
        <v>9412832</v>
      </c>
      <c r="C2" s="6" t="n">
        <v>14570688</v>
      </c>
      <c r="D2" s="6" t="n">
        <v>22599488</v>
      </c>
      <c r="E2" s="6">
        <f>SUM($C$2:C2)</f>
        <v/>
      </c>
      <c r="F2" s="9">
        <f>E2/SUM($C$2:$C$17)</f>
        <v/>
      </c>
    </row>
    <row r="3">
      <c r="A3" t="inlineStr">
        <is>
          <t>2026-12</t>
        </is>
      </c>
      <c r="B3" s="6" t="n">
        <v>9412832</v>
      </c>
      <c r="C3" s="6" t="n">
        <v>14570688</v>
      </c>
      <c r="D3" s="6" t="n">
        <v>22599488</v>
      </c>
      <c r="E3" s="6">
        <f>SUM($C$2:C3)</f>
        <v/>
      </c>
      <c r="F3" s="9">
        <f>E3/SUM($C$2:$C$17)</f>
        <v/>
      </c>
    </row>
    <row r="4">
      <c r="A4" t="inlineStr">
        <is>
          <t>2027-01</t>
        </is>
      </c>
      <c r="B4" s="6" t="n">
        <v>4706416</v>
      </c>
      <c r="C4" s="6" t="n">
        <v>7285344</v>
      </c>
      <c r="D4" s="6" t="n">
        <v>11299744</v>
      </c>
      <c r="E4" s="6">
        <f>SUM($C$2:C4)</f>
        <v/>
      </c>
      <c r="F4" s="9">
        <f>E4/SUM($C$2:$C$17)</f>
        <v/>
      </c>
    </row>
    <row r="5">
      <c r="A5" t="inlineStr">
        <is>
          <t>2027-02</t>
        </is>
      </c>
      <c r="B5" s="6" t="n">
        <v>0</v>
      </c>
      <c r="C5" s="6" t="n">
        <v>0</v>
      </c>
      <c r="D5" s="6" t="n">
        <v>0</v>
      </c>
      <c r="E5" s="6">
        <f>SUM($C$2:C5)</f>
        <v/>
      </c>
      <c r="F5" s="9">
        <f>E5/SUM($C$2:$C$17)</f>
        <v/>
      </c>
    </row>
    <row r="6">
      <c r="A6" t="inlineStr">
        <is>
          <t>2027-03</t>
        </is>
      </c>
      <c r="B6" s="6" t="n">
        <v>0</v>
      </c>
      <c r="C6" s="6" t="n">
        <v>0</v>
      </c>
      <c r="D6" s="6" t="n">
        <v>0</v>
      </c>
      <c r="E6" s="6">
        <f>SUM($C$2:C6)</f>
        <v/>
      </c>
      <c r="F6" s="9">
        <f>E6/SUM($C$2:$C$17)</f>
        <v/>
      </c>
    </row>
    <row r="7">
      <c r="A7" t="inlineStr">
        <is>
          <t>2027-04</t>
        </is>
      </c>
      <c r="B7" s="6" t="n">
        <v>98326156</v>
      </c>
      <c r="C7" s="6" t="n">
        <v>141806662</v>
      </c>
      <c r="D7" s="6" t="n">
        <v>208291852</v>
      </c>
      <c r="E7" s="6">
        <f>SUM($C$2:C7)</f>
        <v/>
      </c>
      <c r="F7" s="9">
        <f>E7/SUM($C$2:$C$17)</f>
        <v/>
      </c>
    </row>
    <row r="8">
      <c r="A8" t="inlineStr">
        <is>
          <t>2027-05</t>
        </is>
      </c>
      <c r="B8" s="6" t="n">
        <v>87750479</v>
      </c>
      <c r="C8" s="6" t="n">
        <v>130915322</v>
      </c>
      <c r="D8" s="6" t="n">
        <v>196574738</v>
      </c>
      <c r="E8" s="6">
        <f>SUM($C$2:C8)</f>
        <v/>
      </c>
      <c r="F8" s="9">
        <f>E8/SUM($C$2:$C$17)</f>
        <v/>
      </c>
    </row>
    <row r="9">
      <c r="A9" t="inlineStr">
        <is>
          <t>2027-06</t>
        </is>
      </c>
      <c r="B9" s="6" t="n">
        <v>113777546</v>
      </c>
      <c r="C9" s="6" t="n">
        <v>162719761</v>
      </c>
      <c r="D9" s="6" t="n">
        <v>237710393</v>
      </c>
      <c r="E9" s="6">
        <f>SUM($C$2:C9)</f>
        <v/>
      </c>
      <c r="F9" s="9">
        <f>E9/SUM($C$2:$C$17)</f>
        <v/>
      </c>
    </row>
    <row r="10">
      <c r="A10" t="inlineStr">
        <is>
          <t>2027-07</t>
        </is>
      </c>
      <c r="B10" s="6" t="n">
        <v>150793514</v>
      </c>
      <c r="C10" s="6" t="n">
        <v>212832613</v>
      </c>
      <c r="D10" s="6" t="n">
        <v>307788259</v>
      </c>
      <c r="E10" s="6">
        <f>SUM($C$2:C10)</f>
        <v/>
      </c>
      <c r="F10" s="9">
        <f>E10/SUM($C$2:$C$17)</f>
        <v/>
      </c>
    </row>
    <row r="11">
      <c r="A11" t="inlineStr">
        <is>
          <t>2027-08</t>
        </is>
      </c>
      <c r="B11" s="6" t="n">
        <v>144472096</v>
      </c>
      <c r="C11" s="6" t="n">
        <v>209848486</v>
      </c>
      <c r="D11" s="6" t="n">
        <v>308606600</v>
      </c>
      <c r="E11" s="6">
        <f>SUM($C$2:C11)</f>
        <v/>
      </c>
      <c r="F11" s="9">
        <f>E11/SUM($C$2:$C$17)</f>
        <v/>
      </c>
    </row>
    <row r="12">
      <c r="A12" t="inlineStr">
        <is>
          <t>2027-09</t>
        </is>
      </c>
      <c r="B12" s="6" t="n">
        <v>142088446</v>
      </c>
      <c r="C12" s="6" t="n">
        <v>212424647</v>
      </c>
      <c r="D12" s="6" t="n">
        <v>318903225</v>
      </c>
      <c r="E12" s="6">
        <f>SUM($C$2:C12)</f>
        <v/>
      </c>
      <c r="F12" s="9">
        <f>E12/SUM($C$2:$C$17)</f>
        <v/>
      </c>
    </row>
    <row r="13">
      <c r="A13" t="inlineStr">
        <is>
          <t>2027-10</t>
        </is>
      </c>
      <c r="B13" s="6" t="n">
        <v>206500627</v>
      </c>
      <c r="C13" s="6" t="n">
        <v>295232788</v>
      </c>
      <c r="D13" s="6" t="n">
        <v>433966809</v>
      </c>
      <c r="E13" s="6">
        <f>SUM($C$2:C13)</f>
        <v/>
      </c>
      <c r="F13" s="9">
        <f>E13/SUM($C$2:$C$17)</f>
        <v/>
      </c>
    </row>
    <row r="14">
      <c r="A14" t="inlineStr">
        <is>
          <t>2027-11</t>
        </is>
      </c>
      <c r="B14" s="6" t="n">
        <v>194037099</v>
      </c>
      <c r="C14" s="6" t="n">
        <v>280843736</v>
      </c>
      <c r="D14" s="6" t="n">
        <v>416719816</v>
      </c>
      <c r="E14" s="6">
        <f>SUM($C$2:C14)</f>
        <v/>
      </c>
      <c r="F14" s="9">
        <f>E14/SUM($C$2:$C$17)</f>
        <v/>
      </c>
    </row>
    <row r="15">
      <c r="A15" t="inlineStr">
        <is>
          <t>2027-12</t>
        </is>
      </c>
      <c r="B15" s="6" t="n">
        <v>68675331</v>
      </c>
      <c r="C15" s="6" t="n">
        <v>111197879</v>
      </c>
      <c r="D15" s="6" t="n">
        <v>179285878</v>
      </c>
      <c r="E15" s="6">
        <f>SUM($C$2:C15)</f>
        <v/>
      </c>
      <c r="F15" s="9">
        <f>E15/SUM($C$2:$C$17)</f>
        <v/>
      </c>
    </row>
    <row r="16">
      <c r="A16" t="inlineStr">
        <is>
          <t>2028-01</t>
        </is>
      </c>
      <c r="B16" s="6" t="n">
        <v>245093859</v>
      </c>
      <c r="C16" s="6" t="n">
        <v>368165592</v>
      </c>
      <c r="D16" s="6" t="n">
        <v>566046430</v>
      </c>
      <c r="E16" s="6">
        <f>SUM($C$2:C16)</f>
        <v/>
      </c>
      <c r="F16" s="9">
        <f>E16/SUM($C$2:$C$17)</f>
        <v/>
      </c>
    </row>
    <row r="17">
      <c r="A17" t="inlineStr">
        <is>
          <t>2028-02</t>
        </is>
      </c>
      <c r="B17" s="6" t="n">
        <v>87202141</v>
      </c>
      <c r="C17" s="6" t="n">
        <v>137719452</v>
      </c>
      <c r="D17" s="6" t="n">
        <v>219669858</v>
      </c>
      <c r="E17" s="6">
        <f>SUM($C$2:C17)</f>
        <v/>
      </c>
      <c r="F17" s="9">
        <f>E17/SUM($C$2:$C$17)</f>
        <v/>
      </c>
    </row>
    <row r="18">
      <c r="A18" s="14" t="inlineStr">
        <is>
          <t>Total</t>
        </is>
      </c>
      <c r="B18" s="15">
        <f>SUM(B2:B17)</f>
        <v/>
      </c>
      <c r="C18" s="15">
        <f>SUM(C2:C17)</f>
        <v/>
      </c>
      <c r="D18" s="15">
        <f>SUM(D2:D17)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13" customWidth="1" min="4" max="4"/>
    <col width="13" customWidth="1" min="5" max="5"/>
    <col width="13" customWidth="1" min="6" max="6"/>
    <col width="10" customWidth="1" min="7" max="7"/>
    <col width="36" customWidth="1" min="8" max="8"/>
    <col width="50" customWidth="1" min="9" max="9"/>
    <col width="80" customWidth="1" min="10" max="10"/>
  </cols>
  <sheetData>
    <row r="1">
      <c r="A1" s="13" t="inlineStr">
        <is>
          <t>Código</t>
        </is>
      </c>
      <c r="B1" s="13" t="inlineStr">
        <is>
          <t>Concepto</t>
        </is>
      </c>
      <c r="C1" s="13" t="inlineStr">
        <is>
          <t>Unidad</t>
        </is>
      </c>
      <c r="D1" s="13" t="inlineStr">
        <is>
          <t>Bajo</t>
        </is>
      </c>
      <c r="E1" s="13" t="inlineStr">
        <is>
          <t>Medio</t>
        </is>
      </c>
      <c r="F1" s="13" t="inlineStr">
        <is>
          <t>Alto</t>
        </is>
      </c>
      <c r="G1" s="13" t="inlineStr">
        <is>
          <t>Confianza</t>
        </is>
      </c>
      <c r="H1" s="13" t="inlineStr">
        <is>
          <t>Fuente principal</t>
        </is>
      </c>
      <c r="I1" s="13" t="inlineStr">
        <is>
          <t>Enlace</t>
        </is>
      </c>
      <c r="J1" s="13" t="inlineStr">
        <is>
          <t>Nota</t>
        </is>
      </c>
    </row>
    <row r="2">
      <c r="A2" t="inlineStr">
        <is>
          <t>B1</t>
        </is>
      </c>
      <c r="B2" t="inlineStr">
        <is>
          <t>Costo directo por m² de vivienda unifamiliar de acabados altos (estrato 5-6) en Barranquilla / Costa Caribe, sin lote</t>
        </is>
      </c>
      <c r="C2" t="inlineStr">
        <is>
          <t>COP/m² construido</t>
        </is>
      </c>
      <c r="D2" s="6" t="n">
        <v>2900000</v>
      </c>
      <c r="E2" s="6" t="n">
        <v>3500000</v>
      </c>
      <c r="F2" s="6" t="n">
        <v>4300000</v>
      </c>
      <c r="G2" t="inlineStr">
        <is>
          <t>media</t>
        </is>
      </c>
      <c r="H2" t="inlineStr">
        <is>
          <t>OneEstimate – Costos de construcción por m² en Colombia 2026</t>
        </is>
      </c>
      <c r="I2" t="inlineStr">
        <is>
          <t>https://oneestimate.ai/es/blog/costos-construccion-por-m2-colombia-2026</t>
        </is>
      </c>
      <c r="J2" t="inlineStr">
        <is>
          <t>No hay índice oficial de costo por m² por estrato; todas las cifras vienen de cotizadores, blogs y arquitectos, y se cruzaron entre sí. Varias incluyen AIU, así que el costo directo se obtuvo dividiendo por 1,25 (AIU típico de B4). El rango de OneEstimate para Barranquilla (3,4–5,5 M con AIU, tabla rotulada 2025) da 2,7–4,4 M de costo directo; actualizado con el ICOCED 2026 (alrededor de +6,6 %) queda en 2,9–4,7 M. El de Hubservice (3,5–5,8 M, no VIS Barranquilla) da 2,8–4,6 M. Mestre da 2,9–3,6 M para medio-alto. El IVA de los materiales va incluido porque para el constructor es costo no descontable; el IVA sobre la utilidad no va incluido. La fracción de mano de obra (~25 %) sale de lo que dice Camacol: la mano de obra pesa cerca del 25 % del costo directo, y en el ICOCED pesa 20,4 %. El valor cubre la edificación (estructura, mampostería, instalaciones, acabados), no piscina, paisajismo, solar ni obras exteriores; para esta casa sirve como contraste del presupuesto detallado.</t>
        </is>
      </c>
    </row>
    <row r="3">
      <c r="A3" t="inlineStr">
        <is>
          <t>B2</t>
        </is>
      </c>
      <c r="B3" t="inlineStr">
        <is>
          <t>Costo directo por m² de vivienda de lujo / premium, sin lote</t>
        </is>
      </c>
      <c r="C3" t="inlineStr">
        <is>
          <t>COP/m² construido</t>
        </is>
      </c>
      <c r="D3" s="6" t="n">
        <v>4000000</v>
      </c>
      <c r="E3" s="6" t="n">
        <v>4800000</v>
      </c>
      <c r="F3" s="6" t="n">
        <v>6000000</v>
      </c>
      <c r="G3" t="inlineStr">
        <is>
          <t>baja</t>
        </is>
      </c>
      <c r="H3" t="inlineStr">
        <is>
          <t>vivienda.com.co – Construcción en Colombia: precio por metro cuadrado en 2026</t>
        </is>
      </c>
      <c r="I3" t="inlineStr">
        <is>
          <t>https://vivienda.com.co/precio-metro-cuadrado-construccion-colombia-2026/</t>
        </is>
      </c>
      <c r="J3" t="inlineStr">
        <is>
          <t>No hay dato publicado específico de lujo en Barranquilla. Las fuentes son nacionales y comerciales: vivienda.com.co da 4,5–7,0 M para alta gama, Presucosto 4,0–6,0+ M con AIU incluido y Mestre más de 4,8 M para lujo. Como no todas aclaran si incluyen AIU, el costo directo se estimó en 4,0–6,0 M, con 4,8 M como valor típico; si a 4,5–7,0 se le quita un AIU del 20–25 %, queda en 3,6–5,8 M. Esta casa tiene muro cortina, teca, piscina de borde infinito, unos 140 m² de ventanería de piso a techo y concreto a la vista de formaleta de tabla, así que debería caer en este rango y no en B1. Con estas cifras, 251 m² × 4,8 M dan unos 1.205 M de costo directo de la edificación, antes de piscina, exteriores y AIU.</t>
        </is>
      </c>
    </row>
    <row r="4">
      <c r="A4" t="inlineStr">
        <is>
          <t>B3</t>
        </is>
      </c>
      <c r="B4" t="inlineStr">
        <is>
          <t>Variación anual del ICOCED (Colombia), la más reciente encontrada</t>
        </is>
      </c>
      <c r="C4" t="inlineStr">
        <is>
          <t>% anual</t>
        </is>
      </c>
      <c r="D4" t="n">
        <v>6.6</v>
      </c>
      <c r="E4" t="n">
        <v>6.6</v>
      </c>
      <c r="F4" t="n">
        <v>6.6</v>
      </c>
      <c r="G4" t="inlineStr">
        <is>
          <t>media</t>
        </is>
      </c>
      <c r="H4" t="inlineStr">
        <is>
          <t>Bancolombia Capital Inteligente – El nuevo mapa de los costos de construcción en Colombia</t>
        </is>
      </c>
      <c r="I4" t="inlineStr">
        <is>
          <t>https://www.bancolombia.com/empresas/capital-inteligente/actualidad-economica-sectorial/costos-construccion-colombia-mano-obra</t>
        </is>
      </c>
      <c r="J4" t="inlineStr">
        <is>
          <t>El dato anual más reciente encontrado es 6,6 % a junio de 2026 (total nacional, citado por Bancolombia el 25-sep-2026); no se pudo abrir el boletín de agosto de 2026. Serie: diciembre de 2025, 3,61 % anual (DANE); febrero de 2026, 6,31 % anual y 5,67 % en el año corrido (DANE). En 2026 el índice saltó por el alza del salario mínimo: el componente de mano de obra subió 13,9 % en el primer semestre. Para Barranquilla, el último dato publicado es 2,97 % (oct-2025 contra oct-2024), que la Secretaría de Hacienda usó para actualizar la tabla de delineación de 2026. Recomendación: para llevar precios de 2025 a 2026 usar cerca del 6,5 % en general y del 12–14 % en partidas que son casi solo mano de obra, no el 3 % del rango sugerido.</t>
        </is>
      </c>
    </row>
    <row r="5">
      <c r="A5" t="inlineStr">
        <is>
          <t>B4</t>
        </is>
      </c>
      <c r="B5" t="inlineStr">
        <is>
          <t>AIU total típico de contratista a precio global en vivienda</t>
        </is>
      </c>
      <c r="C5" t="inlineStr">
        <is>
          <t>% sobre costo directo</t>
        </is>
      </c>
      <c r="D5" t="n">
        <v>18</v>
      </c>
      <c r="E5" t="n">
        <v>25</v>
      </c>
      <c r="F5" t="n">
        <v>30</v>
      </c>
      <c r="G5" t="inlineStr">
        <is>
          <t>media</t>
        </is>
      </c>
      <c r="H5" t="inlineStr">
        <is>
          <t>OneEstimate – AIU en Colombia: qué es y cómo calcularlo (Guía 2026)</t>
        </is>
      </c>
      <c r="I5" t="inlineStr">
        <is>
          <t>https://oneestimate.ai/es/blog/aiu-colombia-guia-completa</t>
        </is>
      </c>
      <c r="J5" t="inlineStr">
        <is>
          <t>Desglose típico 2026: Administración 10–15 % (algunas guías de vivienda dan 12–18 %), Imprevistos 3–5 %, Utilidad 5–10 %. Ninguna norma fija el AIU de obra privada; las cifras son de práctica de mercado. vivienda.com.co, citando a DANE y Camacol, da 25–35 % adicional sobre el costo directo, sin IVA, terreno ni licencias. Para una casa unifamiliar a la medida, con obra pequeña y muchos acabados especiales, lo razonable es 22–28 %. El IVA del 19 % se suma aparte, sobre la U (ver B8).</t>
        </is>
      </c>
    </row>
    <row r="6">
      <c r="A6" t="inlineStr">
        <is>
          <t>B5</t>
        </is>
      </c>
      <c r="B6" t="inlineStr">
        <is>
          <t>Honorarios de administración delegada en vivienda</t>
        </is>
      </c>
      <c r="C6" t="inlineStr">
        <is>
          <t>% sobre costo directo real</t>
        </is>
      </c>
      <c r="D6" t="n">
        <v>8</v>
      </c>
      <c r="E6" t="n">
        <v>10</v>
      </c>
      <c r="F6" t="n">
        <v>15</v>
      </c>
      <c r="G6" t="inlineStr">
        <is>
          <t>media</t>
        </is>
      </c>
      <c r="H6" t="inlineStr">
        <is>
          <t>Corte Suprema de Justicia, Sala Laboral, SL1486-2024 (Rad. 98982)</t>
        </is>
      </c>
      <c r="I6" t="inlineStr">
        <is>
          <t>https://www.ambitojuridico.com/sites/default/files/2024-08/Sent-SL-14862024%2898982%29-24.pdf</t>
        </is>
      </c>
      <c r="J6" t="inlineStr">
        <is>
          <t>Referencia normativa: el reglamento de honorarios de arquitectura (Decreto 2090 de 1989) fija para la construcción por administración delegada el 10 % del costo base real (CBT-real) en las categorías A a G, y el 17 % en restauración (categoría H). Los gastos reembolsables se pagan aparte. La Corte Suprema (SL1486-2024) lo aplicó como 10 % a un caso de casas de categoría E. Una de las transcripciones del texto de Función Pública muestra '0.9%', lo que parece un error. En el mercado se negocian 8–15 %, según el tamaño y si el constructor asume personal de obra y equipos. Sobre los honorarios se cobra IVA del 19 %. En este modelo el propietario asume el riesgo de imprevistos y compra los materiales.</t>
        </is>
      </c>
    </row>
    <row r="7">
      <c r="A7" t="inlineStr">
        <is>
          <t>B6</t>
        </is>
      </c>
      <c r="B7" t="inlineStr">
        <is>
          <t>Tarifa del impuesto de delineación urbana en Barranquilla</t>
        </is>
      </c>
      <c r="C7" t="inlineStr">
        <is>
          <t>% del valor de la obra</t>
        </is>
      </c>
      <c r="D7" t="n">
        <v>3</v>
      </c>
      <c r="E7" t="n">
        <v>3</v>
      </c>
      <c r="F7" t="n">
        <v>3</v>
      </c>
      <c r="G7" t="inlineStr">
        <is>
          <t>alta</t>
        </is>
      </c>
      <c r="H7" t="inlineStr">
        <is>
          <t>Resolución DSH No. 002 de 2024 – Barranquilla</t>
        </is>
      </c>
      <c r="I7" t="inlineStr">
        <is>
          <t>https://barranquilla.gov.co/documento/resolucion-dsh-no-002-de-2024-18-de-diciembre-de-2024-delineacion-urbana/?version=1</t>
        </is>
      </c>
      <c r="J7" t="inlineStr">
        <is>
          <t>Estatuto Tributario Distrital (Decreto 0119 de 2019, arts. 95–97): la tarifa es 3 % del valor final de la obra. Al expedirse la licencia se paga un anticipo del 2,5 % sobre el presupuesto de obra, que no puede ser inferior a los precios mínimos por m² de B7. Dentro de los 5 días siguientes al fin de la obra o al vencimiento de la licencia se presenta la declaración por el 100 % y se descuenta el anticipo. Para 251 m² con el mínimo de estrato 6: anticipo de unos $12,67 M. Si el valor real de la obra es de unos $1.300 M, el impuesto total es de unos $39 M.</t>
        </is>
      </c>
    </row>
    <row r="8">
      <c r="A8" t="inlineStr">
        <is>
          <t>B7</t>
        </is>
      </c>
      <c r="B8" t="inlineStr">
        <is>
          <t>Costo mínimo por m², uso residencial estrato 6, unifamiliar-bifamiliar (Res. DSH 002 de 2025, vigencia 2026)</t>
        </is>
      </c>
      <c r="C8" t="inlineStr">
        <is>
          <t>COP/m²</t>
        </is>
      </c>
      <c r="D8" s="6" t="n">
        <v>2019139</v>
      </c>
      <c r="E8" s="6" t="n">
        <v>2019139</v>
      </c>
      <c r="F8" s="6" t="n">
        <v>2019139</v>
      </c>
      <c r="G8" t="inlineStr">
        <is>
          <t>alta</t>
        </is>
      </c>
      <c r="H8" t="inlineStr">
        <is>
          <t>Gaceta Distrital 1252-2 – Resolución DSH No 002 de 2025 (vigencia 2026)</t>
        </is>
      </c>
      <c r="I8" t="inlineStr">
        <is>
          <t>https://barranquilla.gov.co/documento/gaceta-no-1252-2/?version=1</t>
        </is>
      </c>
      <c r="J8" t="inlineStr">
        <is>
          <t>Tabla residencial de estrato 6 en la Res. DSH 002 de 2025 (26-dic-2025, Gaceta 1252-2): unifamiliar-bifamiliar $2.019.139; multifamiliar hasta 6 pisos $1.725.751; multifamiliar de más de 6 pisos $2.557.707. El orden de las columnas se confirmó con la Res. DSH 002 de 2023 (2024: 1.889.114 / 1.614.620 / 2.393.000) y la Res. DSH 002 de 2024 (2025: 1.960.900 / 1.675.975 / 2.483.934). Las cuentas cuadran exactas: 1.960.900 × 1,0297 = 2.019.139, y en estrato 1, 594.900 × 1,0297 = 612.569. WebFetch no pudo abrir el PDF por un error de DNS; los valores salen de extractos del índice de búsqueda de la gaceta oficial y de la copia de PwC. Es un valor mínimo fiscal, no un costo real de obra. Para 251 m²: base mínima $506.803.889 y anticipo del 2,5 % de $12.670.097.</t>
        </is>
      </c>
    </row>
    <row r="9">
      <c r="A9" t="inlineStr">
        <is>
          <t>B8</t>
        </is>
      </c>
      <c r="B9" t="inlineStr">
        <is>
          <t>IVA sobre la utilidad en contratos de obra con AIU</t>
        </is>
      </c>
      <c r="C9" t="inlineStr">
        <is>
          <t>% sobre la utilidad (o sobre los honorarios)</t>
        </is>
      </c>
      <c r="D9" t="n">
        <v>19</v>
      </c>
      <c r="E9" t="n">
        <v>19</v>
      </c>
      <c r="F9" t="n">
        <v>19</v>
      </c>
      <c r="G9" t="inlineStr">
        <is>
          <t>alta</t>
        </is>
      </c>
      <c r="H9" t="inlineStr">
        <is>
          <t>Gerencie – IVA en contratos de construcción de bienes inmuebles</t>
        </is>
      </c>
      <c r="I9" t="inlineStr">
        <is>
          <t>https://www.gerencie.com/iva-en-contratos-de-construccion-de-bienes-inmuebles.html</t>
        </is>
      </c>
      <c r="J9" t="inlineStr">
        <is>
          <t>Art. 3 del Decreto 1372 de 1992, compilado en el art. 1.3.1.7.9 del DUR 1625 de 2016: en la construcción de un inmueble, el IVA se causa sobre los honorarios o, si no se pactan honorarios, sobre la utilidad. Se aplica la tarifa general del 19 %. La utilidad pactada no puede ser menor que la comercial de contratos similares. El IVA pagado en materiales no es descontable para el constructor y por eso va dentro del costo directo. Efecto: con una U de 5–10 %, el IVA equivale a 0,95–1,9 % del costo directo. En administración delegada se aplica el 19 % sobre los honorarios. La DIAN aclara que la regla cubre obras inherentes a la construcción; lo que se puede retirar sin dañar el inmueble (por ejemplo equipos) se factura con IVA pleno.</t>
        </is>
      </c>
    </row>
    <row r="10">
      <c r="A10" t="inlineStr">
        <is>
          <t>B9</t>
        </is>
      </c>
      <c r="B10" t="inlineStr">
        <is>
          <t>Precio de venta por m² de casas nuevas de lujo en el norte de Barranquilla (Villa Campestre, Altos del Prado, Riomar), como contraste</t>
        </is>
      </c>
      <c r="C10" t="inlineStr">
        <is>
          <t>COP/m² construido (precio de oferta, incluye lote)</t>
        </is>
      </c>
      <c r="D10" s="6" t="n">
        <v>4500000</v>
      </c>
      <c r="E10" s="6" t="n">
        <v>6000000</v>
      </c>
      <c r="F10" s="6" t="n">
        <v>8000000</v>
      </c>
      <c r="G10" t="inlineStr">
        <is>
          <t>media</t>
        </is>
      </c>
      <c r="H10" t="inlineStr">
        <is>
          <t>Ukucela – Precio m² en Barranquilla 2026</t>
        </is>
      </c>
      <c r="I10" t="inlineStr">
        <is>
          <t>https://ukucela.com/blog/precio-metro-cuadrado-barranquilla-2026</t>
        </is>
      </c>
      <c r="J10" t="inlineStr">
        <is>
          <t>No hay índice oficial de casas nuevas de lujo; se usan precios de oferta de portales, que incluyen el lote y suelen estar 10–20 % por encima del precio de cierre. Algunos avisos, con el m² calculado: Villa Campestre, 251 m² por $1.100 M (≈ 4,4 M/m²); Villa Campestre, 310 m² por $2.500 M (≈ 8 M/m²); Villa Campestre, 620 m² por $3.300 M (≈ 5,3 M/m²). Ukucela ubica Riomar y Alto Prado en 4,5–6,5 M/m². Terraes da una mediana de 4,0 M/m² para toda la ciudad (P25–P75: 3,1–5,2; máximo ≈ 6,8). Los apartamentos nuevos de Riomar se anuncian en 9–12 M/m², pero esa cifra es la de un vendedor. Contraste: el costo directo de B2 más AIU (≈ 6,0 M/m²) ya iguala o supera el precio de venta típico de casas del sector, sin contar lote.</t>
        </is>
      </c>
    </row>
    <row r="11">
      <c r="A11" t="inlineStr">
        <is>
          <t>L1</t>
        </is>
      </c>
      <c r="B11" t="inlineStr">
        <is>
          <t>Salario mínimo mensual legal vigente 2026 (SMMLV)</t>
        </is>
      </c>
      <c r="C11" t="inlineStr">
        <is>
          <t>COP/mes</t>
        </is>
      </c>
      <c r="D11" s="6" t="n">
        <v>1750905</v>
      </c>
      <c r="E11" s="6" t="n">
        <v>1750905</v>
      </c>
      <c r="F11" s="6" t="n">
        <v>1750905</v>
      </c>
      <c r="G11" t="inlineStr">
        <is>
          <t>alta</t>
        </is>
      </c>
      <c r="H11" t="inlineStr">
        <is>
          <t>ConsultorSalud - Decretos 1469 y 1470 de 2025</t>
        </is>
      </c>
      <c r="I11" t="inlineStr">
        <is>
          <t>https://consultorsalud.com/aumento-del-salario-minimo-en-colombia-2026/</t>
        </is>
      </c>
      <c r="J11" t="inlineStr">
        <is>
          <t>Valor oficial: +23% sobre 2025. El Consejo de Estado suspendió provisionalmente el Decreto 1469/2025 el 12-feb-2026. El Decreto 0159 del 19-feb-2026 fijó transitoriamente el mismo valor, que sigue vigente hasta la sentencia de fondo. Es salario básico, sin prestaciones ni auxilio de transporte.</t>
        </is>
      </c>
    </row>
    <row r="12">
      <c r="A12" t="inlineStr">
        <is>
          <t>L2</t>
        </is>
      </c>
      <c r="B12" t="inlineStr">
        <is>
          <t>Auxilio de transporte 2026</t>
        </is>
      </c>
      <c r="C12" t="inlineStr">
        <is>
          <t>COP/mes</t>
        </is>
      </c>
      <c r="D12" s="6" t="n">
        <v>249095</v>
      </c>
      <c r="E12" s="6" t="n">
        <v>249095</v>
      </c>
      <c r="F12" s="6" t="n">
        <v>249095</v>
      </c>
      <c r="G12" t="inlineStr">
        <is>
          <t>alta</t>
        </is>
      </c>
      <c r="H12" t="inlineStr">
        <is>
          <t>Colpensiones - Decreto 1470 de 2025</t>
        </is>
      </c>
      <c r="I12" t="inlineStr">
        <is>
          <t>https://normativa.colpensiones.gov.co/compilacion/docs/decreto_1470_2025.htm</t>
        </is>
      </c>
      <c r="J12" t="inlineStr">
        <is>
          <t>Decreto 1470/2025: +24,5% sobre los $200.000 de 2025. Se paga a quien devenga hasta 2 SMMLV ($3.501.810), es decir, a ayudantes y oficiales. Entra en la base de cesantías y prima, no en la de vacaciones ni en la de aportes. SMMLV + auxilio = $2.000.000.</t>
        </is>
      </c>
    </row>
    <row r="13">
      <c r="A13" t="inlineStr">
        <is>
          <t>L3</t>
        </is>
      </c>
      <c r="B13" t="inlineStr">
        <is>
          <t>Jornal básico de oficial de construcción en Barranquilla (sin prestaciones)</t>
        </is>
      </c>
      <c r="C13" t="inlineStr">
        <is>
          <t>COP/día</t>
        </is>
      </c>
      <c r="D13" s="6" t="n">
        <v>76700</v>
      </c>
      <c r="E13" s="6" t="n">
        <v>90000</v>
      </c>
      <c r="F13" s="6" t="n">
        <v>118000</v>
      </c>
      <c r="G13" t="inlineStr">
        <is>
          <t>media</t>
        </is>
      </c>
      <c r="H13" t="inlineStr">
        <is>
          <t>Elempleo - Oficial de estructura y acabados (Atiempo), Barranquilla</t>
        </is>
      </c>
      <c r="I13" t="inlineStr">
        <is>
          <t>https://www.elempleo.com/co/ofertas-trabajo/oficial-de-obra-vivienda-barranquilla-1886774152</t>
        </is>
      </c>
      <c r="J13" t="inlineStr">
        <is>
          <t>Jornal = pago al trabajador SIN prestaciones; L5 se aplica encima. Bajo: oferta formal real en Barranquilla de $2.300.000/mes entre 30 días. Medio: el mismo salario por día efectivamente trabajado (2,3 M / 26 días = $88.500 en semana de 6 días; esa oferta trabaja de lunes a viernes, lo que da unos $106.000 por día trabajado). Coincide con el pago diario informal típico. Alto: techo del rango de OneEstimate para Barranquilla y piso del de PresuCosto (este no aclara si incluye prestaciones). Los blogs comerciales dicen usar un SMMLV 2026 de $1.423.500, que en realidad es el de 2025, así que sus rangos probablemente subestiman 2026.</t>
        </is>
      </c>
    </row>
    <row r="14">
      <c r="A14" t="inlineStr">
        <is>
          <t>L4</t>
        </is>
      </c>
      <c r="B14" t="inlineStr">
        <is>
          <t>Jornal básico de ayudante de construcción en Barranquilla (sin prestaciones)</t>
        </is>
      </c>
      <c r="C14" t="inlineStr">
        <is>
          <t>COP/día</t>
        </is>
      </c>
      <c r="D14" s="6" t="n">
        <v>58400</v>
      </c>
      <c r="E14" s="6" t="n">
        <v>67000</v>
      </c>
      <c r="F14" s="6" t="n">
        <v>75000</v>
      </c>
      <c r="G14" t="inlineStr">
        <is>
          <t>media</t>
        </is>
      </c>
      <c r="H14" t="inlineStr">
        <is>
          <t>Cazvid - Ayudante de obra civil, DISANORTE SAS, Barranquilla</t>
        </is>
      </c>
      <c r="I14" t="inlineStr">
        <is>
          <t>https://cazvid.com/empleo/ayudante-de-obra-civil-11761c</t>
        </is>
      </c>
      <c r="J14" t="inlineStr">
        <is>
          <t>Las vacantes formales de ayudante en Barranquilla y en el país pagan exactamente el SMMLV. Bajo: SMMLV/30 = $58.364 por día calendario. Medio: SMMLV/26 = $67.342 por día trabajado en semana de 6 días, en línea con el pago diario informal. Alto: ayudante con experiencia o pago diario informal alto; los blogs dan $60.000-85.000 a nivel nacional con base 2025. L5 se aplica encima.</t>
        </is>
      </c>
    </row>
    <row r="15">
      <c r="A15" t="inlineStr">
        <is>
          <t>L5</t>
        </is>
      </c>
      <c r="B15" t="inlineStr">
        <is>
          <t>Factor prestacional de la construcción (carga sobre el salario básico)</t>
        </is>
      </c>
      <c r="C15" t="inlineStr">
        <is>
          <t>fracción sobre salario básico</t>
        </is>
      </c>
      <c r="D15" t="n">
        <v>0.5</v>
      </c>
      <c r="E15" t="n">
        <v>0.62</v>
      </c>
      <c r="F15" t="n">
        <v>0.8</v>
      </c>
      <c r="G15" t="inlineStr">
        <is>
          <t>media</t>
        </is>
      </c>
      <c r="H15" t="inlineStr">
        <is>
          <t>Gerencie - Porcentajes de prestaciones sociales</t>
        </is>
      </c>
      <c r="I15" t="inlineStr">
        <is>
          <t>https://www.gerencie.com/porcentajes-prestaciones-sociales.html</t>
        </is>
      </c>
      <c r="J15" t="inlineStr">
        <is>
          <t>Cálculo propio con tasas legales 2026. Prestaciones: cesantías 8,33% + intereses 1% + prima 8,33%, todas sobre salario más auxilio, y vacaciones 4,17% sobre salario: unos 22-24%. Seguridad social del empleador: pensión 12% + ARL clase V 6,96% + caja 4% = 22,96%. Dotación: unos 2%. Auxilio de transporte: 14,2% del SMMLV o 10,8% sobre $2,3 M. Medio (0,62): empleador exonerado de salud, SENA e ICBF (art. 114-1 ET, persona jurídica o persona natural con 2 o más trabajadores), promedio de oficial (0,59) y ayudante (0,64). Alto (0,80): sin exoneración (+8,5% salud +2% SENA +3% ICBF) más el aporte FIC (~2,5%). Bajo (0,50): trabajador sin auxilio ni dotación, típico de las APU de blogs (0,52). OJO: el factor va sobre el salario mensual o sobre el jornal de 30 días. Para el costo por día efectivamente trabajado hay que multiplicar además por unos 1,22 (semana de 6 días) o unos 1,43 (semana de 5 días con festivos), salvo que el jornal ya sea por día trabajado.</t>
        </is>
      </c>
    </row>
    <row r="16">
      <c r="A16" t="inlineStr">
        <is>
          <t>L6</t>
        </is>
      </c>
      <c r="B16" t="inlineStr">
        <is>
          <t>Salario de ingeniero o arquitecto residente de obra en Barranquilla</t>
        </is>
      </c>
      <c r="C16" t="inlineStr">
        <is>
          <t>COP/mes</t>
        </is>
      </c>
      <c r="D16" s="6" t="n">
        <v>3500000</v>
      </c>
      <c r="E16" s="6" t="n">
        <v>4500000</v>
      </c>
      <c r="F16" s="6" t="n">
        <v>5500000</v>
      </c>
      <c r="G16" t="inlineStr">
        <is>
          <t>media</t>
        </is>
      </c>
      <c r="H16" t="inlineStr">
        <is>
          <t>Elempleo - Residente técnico de obra vivienda multifamiliar, Barranquilla</t>
        </is>
      </c>
      <c r="I16" t="inlineStr">
        <is>
          <t>https://www.elempleo.com/co/ofertas-trabajo/barranquilla-residente-tecnico-de-obra-vivienda-multifamiliar-1886695903</t>
        </is>
      </c>
      <c r="J16" t="inlineStr">
        <is>
          <t>Salario básico de vacantes publicadas en Barranquilla en 2026, sin prestaciones; con contrato laboral se aplica L5, sin auxilio de transporte. Bajo: residente administrativo o junior ($3,5-4 M; en Cartagena hay ofertas de $2,8-3,0 M). Alto: residente técnico de vivienda con 3 años de experiencia ($5,0-5,5 M). Para una casa de 251 m² suele contratarse a medio tiempo o por honorarios de interventoría o dirección.</t>
        </is>
      </c>
    </row>
    <row r="17">
      <c r="A17" t="inlineStr">
        <is>
          <t>L7</t>
        </is>
      </c>
      <c r="B17" t="inlineStr">
        <is>
          <t>Salario de maestro general de obra en Barranquilla</t>
        </is>
      </c>
      <c r="C17" t="inlineStr">
        <is>
          <t>COP/mes</t>
        </is>
      </c>
      <c r="D17" s="6" t="n">
        <v>3500000</v>
      </c>
      <c r="E17" s="6" t="n">
        <v>4000000</v>
      </c>
      <c r="F17" s="6" t="n">
        <v>5000000</v>
      </c>
      <c r="G17" t="inlineStr">
        <is>
          <t>media</t>
        </is>
      </c>
      <c r="H17" t="inlineStr">
        <is>
          <t>Elempleo - Maestro de obra bodegas (Conconcreto), Barranquilla</t>
        </is>
      </c>
      <c r="I17" t="inlineStr">
        <is>
          <t>https://www.elempleo.com/co/ofertas-trabajo/maestro-de-obra-bodegas-barranquilla-1886712301</t>
        </is>
      </c>
      <c r="J17" t="inlineStr">
        <is>
          <t>Salario básico de vacantes de Barranquilla en 2026, sin prestaciones; se aplica L5 sin auxilio de transporte. Medio: unos $4,0 M (Conconcreto ofrece $4.020.990 y Adecco $3,5-4 M). Alto: maestro con experiencia en acabados de lujo; Portafolio reporta $5,17 M CON prestaciones, sin fecha. En obras privadas pequeñas el maestro a veces cobra por contrato a destajo o por m² en lugar de salario.</t>
        </is>
      </c>
    </row>
    <row r="18">
      <c r="A18" t="inlineStr">
        <is>
          <t>L10</t>
        </is>
      </c>
      <c r="B18" t="inlineStr">
        <is>
          <t>Mano de obra mampostería en bloque de concreto o arcilla (12-15 cm)</t>
        </is>
      </c>
      <c r="C18" t="inlineStr">
        <is>
          <t>COP/m²</t>
        </is>
      </c>
      <c r="D18" s="6" t="n">
        <v>15000</v>
      </c>
      <c r="E18" s="6" t="n">
        <v>23000</v>
      </c>
      <c r="F18" s="6" t="n">
        <v>30000</v>
      </c>
      <c r="G18" t="inlineStr">
        <is>
          <t>media</t>
        </is>
      </c>
      <c r="H18" t="inlineStr">
        <is>
          <t>OneEstimate - Valor m² mano de obra Colombia 2026 (tabla por ciudad)</t>
        </is>
      </c>
      <c r="I18" t="inlineStr">
        <is>
          <t>https://oneestimate.ai/es/blog/valor-m2-mano-obra-construccion-colombia-2026</t>
        </is>
      </c>
      <c r="J18" t="inlineStr">
        <is>
          <t>Solo mano de obra (sin bloque, mortero ni andamio). Cálculo de control: una cuadrilla de 1 oficial + 1 ayudante formal con L5 medio cuesta unos $266.000-310.000 por día trabajado; con 10-12 m²/día da $23.000-28.000/m². La misma cuadrilla informal ($155.000/día) da unos $14.000/m². La tabla de OneEstimate para Barranquilla ($13.500-17.500) parece usar salarios de 2025; ajustada un 13,9% (alza de la mano de obra en el ICOCED del 1er semestre de 2026) queda en $15.400-19.900. Alto: bloque a la vista o muros altos en doble altura.</t>
        </is>
      </c>
    </row>
    <row r="19">
      <c r="A19" t="inlineStr">
        <is>
          <t>L11</t>
        </is>
      </c>
      <c r="B19" t="inlineStr">
        <is>
          <t>Mano de obra pañete (revoque) en muros</t>
        </is>
      </c>
      <c r="C19" t="inlineStr">
        <is>
          <t>COP/m²</t>
        </is>
      </c>
      <c r="D19" s="6" t="n">
        <v>11000</v>
      </c>
      <c r="E19" s="6" t="n">
        <v>18000</v>
      </c>
      <c r="F19" s="6" t="n">
        <v>25000</v>
      </c>
      <c r="G19" t="inlineStr">
        <is>
          <t>media</t>
        </is>
      </c>
      <c r="H19" t="inlineStr">
        <is>
          <t>OneEstimate - Valor m² mano de obra Colombia 2026</t>
        </is>
      </c>
      <c r="I19" t="inlineStr">
        <is>
          <t>https://oneestimate.ai/es/blog/valor-m2-mano-obra-construccion-colombia-2026</t>
        </is>
      </c>
      <c r="J19" t="inlineStr">
        <is>
          <t>Solo mano de obra. Bajo: pañete liso interior al precio de Barranquilla ajustado a 2026. Medio: cuadrilla formal 1+1 (~$280.000/día) con 15 m²/día da unos $18.700. Alto: pañete de fachada, bajo placa o con filos y dilataciones, necesario para el estuco blanco de fachada. Las fuentes difieren hasta el doble.</t>
        </is>
      </c>
    </row>
    <row r="20">
      <c r="A20" t="inlineStr">
        <is>
          <t>L12</t>
        </is>
      </c>
      <c r="B20" t="inlineStr">
        <is>
          <t>Mano de obra estuco y pintura interior (estuco + 2-3 manos de vinilo)</t>
        </is>
      </c>
      <c r="C20" t="inlineStr">
        <is>
          <t>COP/m²</t>
        </is>
      </c>
      <c r="D20" s="6" t="n">
        <v>13000</v>
      </c>
      <c r="E20" s="6" t="n">
        <v>19000</v>
      </c>
      <c r="F20" s="6" t="n">
        <v>28000</v>
      </c>
      <c r="G20" t="inlineStr">
        <is>
          <t>media</t>
        </is>
      </c>
      <c r="H20" t="inlineStr">
        <is>
          <t>OneEstimate - Valor m² mano de obra Colombia 2026</t>
        </is>
      </c>
      <c r="I20" t="inlineStr">
        <is>
          <t>https://oneestimate.ai/es/blog/valor-m2-mano-obra-construccion-colombia-2026</t>
        </is>
      </c>
      <c r="J20" t="inlineStr">
        <is>
          <t>Solo mano de obra. Bajo: combo de estuco y pintura en Barranquilla (OneEstimate) ajustado a 2026. Medio: tabulador de estuco + pintura a 3 manos. Alto: acabado de lujo con estuco plástico, lijado fino y 3 manos, en alturas mayores de 3 m (doble altura); OneEstimate indica +20-40% por altura o alta precisión.</t>
        </is>
      </c>
    </row>
    <row r="21">
      <c r="A21" t="inlineStr">
        <is>
          <t>L13</t>
        </is>
      </c>
      <c r="B21" t="inlineStr">
        <is>
          <t>Mano de obra instalación porcelanato gran formato 120x120 (piso)</t>
        </is>
      </c>
      <c r="C21" t="inlineStr">
        <is>
          <t>COP/m²</t>
        </is>
      </c>
      <c r="D21" s="6" t="n">
        <v>40000</v>
      </c>
      <c r="E21" s="6" t="n">
        <v>60000</v>
      </c>
      <c r="F21" s="6" t="n">
        <v>85000</v>
      </c>
      <c r="G21" t="inlineStr">
        <is>
          <t>baja</t>
        </is>
      </c>
      <c r="H21" t="inlineStr">
        <is>
          <t>Homecenter - Instal. cerámico piso + guarda m² de 60 a 80 cm</t>
        </is>
      </c>
      <c r="I21" t="inlineStr">
        <is>
          <t>https://www.homecenter.com.co/homecenter-co/product/701381/instal-ceramico-pisoguarda-m2-de-60-cm-a-80-int/701381/</t>
        </is>
      </c>
      <c r="J21" t="inlineStr">
        <is>
          <t>No se encontró una tarifa publicada para 120x120 en Colombia. Homecenter cobra $44.900/m² para formato de 60-80 cm (con IVA, unos $37.700 sin IVA) y tiene una línea aparte para formato mayor de 80 cm cuyo precio no aparece. La pieza de 120x120 exige 2 instaladores, doble encolado, niveladores tipo clip, ventosas y una placa nivelada, lo que suele costar un 30-60% más que el 60x60. Cálculo: cuadrilla de 2 oficiales + 1 ayudante formal (~$415.000/día) con 6-10 m²/día da $41.000-69.000. No incluye nivelación ni mortero autonivelante, pegante, boquilla ni guardaescoba.</t>
        </is>
      </c>
    </row>
    <row r="22">
      <c r="A22" t="inlineStr">
        <is>
          <t>L14</t>
        </is>
      </c>
      <c r="B22" t="inlineStr">
        <is>
          <t>Mano de obra vaciado, vibrado y curado de concreto estructural</t>
        </is>
      </c>
      <c r="C22" t="inlineStr">
        <is>
          <t>COP/m³</t>
        </is>
      </c>
      <c r="D22" s="6" t="n">
        <v>45000</v>
      </c>
      <c r="E22" s="6" t="n">
        <v>90000</v>
      </c>
      <c r="F22" s="6" t="n">
        <v>160000</v>
      </c>
      <c r="G22" t="inlineStr">
        <is>
          <t>baja</t>
        </is>
      </c>
      <c r="H22" t="inlineStr">
        <is>
          <t>PresuCosto - Costos mano de obra construcción Colombia 2026</t>
        </is>
      </c>
      <c r="I22" t="inlineStr">
        <is>
          <t>https://presucosto.com/blog/mano-obra-construccion-colombia-2026-precios</t>
        </is>
      </c>
      <c r="J22" t="inlineStr">
        <is>
          <t>Solo mano de obra, sin formaleta ni acero. Bajo: concreto premezclado bombeado en losa (PresuCosto $45.000-70.000/m³). Cálculo: cuadrilla de 1 oficial + 3 ayudantes formal (~$500.000-580.000/día) con 12-20 m³/día da $25.000-48.000. Medio: mezcla de losas, vigas y columnas; columnas y vigas rinden 3-6 m³/día. Alto: concreto mezclado en obra para columnas o concreto a la vista con formaleta de tabla y vibrado cuidadoso (el APU de OneEstimate da $203.200/m³ de mano de obra incluyendo la mezcla). El rango de OneEstimate a destajo ($85.000-120.000 en losa) no especifica la unidad.</t>
        </is>
      </c>
    </row>
    <row r="23">
      <c r="A23" t="inlineStr">
        <is>
          <t>L15</t>
        </is>
      </c>
      <c r="B23" t="inlineStr">
        <is>
          <t>Mano de obra figurado, armado e instalación de acero de refuerzo</t>
        </is>
      </c>
      <c r="C23" t="inlineStr">
        <is>
          <t>COP/kg</t>
        </is>
      </c>
      <c r="D23" s="6" t="n">
        <v>450</v>
      </c>
      <c r="E23" s="6" t="n">
        <v>850</v>
      </c>
      <c r="F23" s="6" t="n">
        <v>1200</v>
      </c>
      <c r="G23" t="inlineStr">
        <is>
          <t>baja</t>
        </is>
      </c>
      <c r="H23" t="inlineStr">
        <is>
          <t>OneEstimate - Precios mano de obra Colombia 2026 (destajo)</t>
        </is>
      </c>
      <c r="I23" t="inlineStr">
        <is>
          <t>https://oneestimate.ai/es/blog/precios-mano-obra-construccion-colombia-2026</t>
        </is>
      </c>
      <c r="J23" t="inlineStr">
        <is>
          <t>Los blogs dan $350-550/kg con salarios de 2025, valor que sirve para acero ya figurado en planta y que solo se arma en obra. Cálculo: cuadrilla de 1 oficial + 1 ayudante formal (~$266.000-310.000/día) con 250-350 kg/día da $760-1.240/kg; la cuadrilla informal ($155.000/día) a 300 kg/día da unos $520/kg. Alto: diámetros pequeños, muchos estribos y voladizos de 1,2-1,6 m, con bajo rendimiento.</t>
        </is>
      </c>
    </row>
    <row r="24">
      <c r="A24" t="inlineStr">
        <is>
          <t>L16</t>
        </is>
      </c>
      <c r="B24" t="inlineStr">
        <is>
          <t>Mano de obra instalación piso de madera de ingeniería (roble)</t>
        </is>
      </c>
      <c r="C24" t="inlineStr">
        <is>
          <t>COP/m²</t>
        </is>
      </c>
      <c r="D24" s="6" t="n">
        <v>22000</v>
      </c>
      <c r="E24" s="6" t="n">
        <v>38000</v>
      </c>
      <c r="F24" s="6" t="n">
        <v>60000</v>
      </c>
      <c r="G24" t="inlineStr">
        <is>
          <t>baja</t>
        </is>
      </c>
      <c r="H24" t="inlineStr">
        <is>
          <t>Starhouse - Instalación piso de madera precio Colombia</t>
        </is>
      </c>
      <c r="I24" t="inlineStr">
        <is>
          <t>https://starhouse.com.co/instalacion-piso-madera-precio/</t>
        </is>
      </c>
      <c r="J24" t="inlineStr">
        <is>
          <t>No hay tarifa publicada para Barranquilla. Starhouse da $25.000-50.000/m² para instalación flotante y $40.000-80.000/m² para flotante o pegada; son precios de retail con margen. Cálculo: cuadrilla 1+1 formal con 12-20 m²/día flotante da $14.000-23.000, y pegada con adhesivo (8-12 m²/día) da $23.000-35.000. Por el clima húmedo de Barranquilla conviene pegar con adhesivo MS o poner barrera de vapor, lo que acerca el precio al medio-alto. No incluye zócalo, nivelación ni adhesivo.</t>
        </is>
      </c>
    </row>
    <row r="25">
      <c r="A25" t="inlineStr">
        <is>
          <t>L17</t>
        </is>
      </c>
      <c r="B25" t="inlineStr">
        <is>
          <t>Mano de obra cielo raso en drywall (estructura, placa y masillado)</t>
        </is>
      </c>
      <c r="C25" t="inlineStr">
        <is>
          <t>COP/m²</t>
        </is>
      </c>
      <c r="D25" s="6" t="n">
        <v>20000</v>
      </c>
      <c r="E25" s="6" t="n">
        <v>27000</v>
      </c>
      <c r="F25" s="6" t="n">
        <v>36000</v>
      </c>
      <c r="G25" t="inlineStr">
        <is>
          <t>media</t>
        </is>
      </c>
      <c r="H25" t="inlineStr">
        <is>
          <t>OneEstimate - Valor m² mano de obra Colombia 2026</t>
        </is>
      </c>
      <c r="I25" t="inlineStr">
        <is>
          <t>https://oneestimate.ai/es/blog/valor-m2-mano-obra-construccion-colombia-2026</t>
        </is>
      </c>
      <c r="J25" t="inlineStr">
        <is>
          <t>Solo mano de obra, sin pintura. Bajo: tabla de OneEstimate para Barranquilla. Medio: cuadrilla 1+1 formal (~$280.000/día) con 10-12 m²/día da unos $23.000-28.000. Alto: cielo con dilataciones, cortineros, nichos de luz o en doble altura. Para el clima de la costa se recomienda placa RH, lo que no cambia la mano de obra.</t>
        </is>
      </c>
    </row>
    <row r="26">
      <c r="A26" t="inlineStr">
        <is>
          <t>L18</t>
        </is>
      </c>
      <c r="B26" t="inlineStr">
        <is>
          <t>Mano de obra excavación manual en material común</t>
        </is>
      </c>
      <c r="C26" t="inlineStr">
        <is>
          <t>COP/m³</t>
        </is>
      </c>
      <c r="D26" s="6" t="n">
        <v>25000</v>
      </c>
      <c r="E26" s="6" t="n">
        <v>45000</v>
      </c>
      <c r="F26" s="6" t="n">
        <v>60000</v>
      </c>
      <c r="G26" t="inlineStr">
        <is>
          <t>media</t>
        </is>
      </c>
      <c r="H26" t="inlineStr">
        <is>
          <t>OneEstimate - Precios mano de obra Colombia 2026 (destajo)</t>
        </is>
      </c>
      <c r="I26" t="inlineStr">
        <is>
          <t>https://oneestimate.ai/es/blog/precios-mano-obra-construccion-colombia-2026</t>
        </is>
      </c>
      <c r="J26" t="inlineStr">
        <is>
          <t>Solo mano de obra, sin retiro ni botada del material. Bajo: destajo informal (blogs $25.000-40.000). Medio: ayudante formal (~$117.000-137.000/día) + 0,1 oficial, con 2,5-3,5 m³/día, da $38.000-55.000. Alto: material duro (caliche o arcilla compacta, frecuente en el norte de Barranquilla), zanjas profundas o con agua. El APU publicado de Cali ($226.489/m³ con AIU) es un valor atípico y no se usó.</t>
        </is>
      </c>
    </row>
    <row r="27">
      <c r="A27" t="inlineStr">
        <is>
          <t>L19</t>
        </is>
      </c>
      <c r="B27" t="inlineStr">
        <is>
          <t>Participación de la mano de obra en el costo directo de una vivienda</t>
        </is>
      </c>
      <c r="C27" t="inlineStr">
        <is>
          <t>fracción del costo directo</t>
        </is>
      </c>
      <c r="D27" t="n">
        <v>0.2</v>
      </c>
      <c r="E27" t="n">
        <v>0.25</v>
      </c>
      <c r="F27" t="n">
        <v>0.32</v>
      </c>
      <c r="G27" t="inlineStr">
        <is>
          <t>media</t>
        </is>
      </c>
      <c r="H27" t="inlineStr">
        <is>
          <t>Valora Analitik - Constructores prevén alza de hasta 11% en costos 2026 (Camacol)</t>
        </is>
      </c>
      <c r="I27" t="inlineStr">
        <is>
          <t>https://www.valoraanalitik.com/?p=548373</t>
        </is>
      </c>
      <c r="J27" t="inlineStr">
        <is>
          <t>Camacol estima la mano de obra en cerca del 25% de los costos directos, y el Decreto 2375/1974 (FIC) presume el mismo 25% en jornales y subcontratos. En el ICOCED de Bogotá-Cundinamarca pesa 20,48%, y Bancolombia la ubica en 20,4% del costo total en 2024. Con el alza salarial de 2026 (mano de obra +13,9% contra un ICOCED total de +6,6%) la participación sube. En esta casa, los acabados importados de alto valor (aluminio y vidrio, porcelanato, solar, equipos) bajan la fracción, mientras los oficios artesanales (teca, microcemento, piedra coralina, concreto a la vista, piscina) la suben. Por eso medio = 0,25 y alto = 0,32.</t>
        </is>
      </c>
    </row>
    <row r="28">
      <c r="A28" t="inlineStr">
        <is>
          <t>G1</t>
        </is>
      </c>
      <c r="B28" t="inlineStr">
        <is>
          <t>Concreto premezclado 3000 psi (21 MPa) puesto en obra en Barranquilla, sin bombeo</t>
        </is>
      </c>
      <c r="C28" t="inlineStr">
        <is>
          <t>COP/m3</t>
        </is>
      </c>
      <c r="D28" s="6" t="n">
        <v>470000</v>
      </c>
      <c r="E28" s="6" t="n">
        <v>530000</v>
      </c>
      <c r="F28" s="6" t="n">
        <v>600000</v>
      </c>
      <c r="G28" t="inlineStr">
        <is>
          <t>media</t>
        </is>
      </c>
      <c r="H28" t="inlineStr">
        <is>
          <t>Presucosto - Lista precios materiales construccion Colombia 2026</t>
        </is>
      </c>
      <c r="I28" t="inlineStr">
        <is>
          <t>https://presucosto.com/blog/precios-materiales-construccion-colombia-2026</t>
        </is>
      </c>
      <c r="J28" t="inlineStr">
        <is>
          <t>No se halló lista de precios publicada de planta en Barranquilla (Argos/Cemex) para 2026; rango construido con Presucosto feb-2026 (nacional, sin IVA, sin bombeo) y ajuste Barranquilla -5%/+8%, contrastado con EMCALI 2025 (+6% ICOCED a 2026 = ~565.000) y Edubar 2021 (381.752 x ~1,30 = ~495.000). Bombeo aparte: con tarifa base de $1.650.000 por servicio que cubre 20 m³, para vaciados de vivienda de 10-25 m³ el bombeo suma aprox. 65.000-110.000 COP/m³ (cálculo propio). Agregar IVA 19% si la cotización es sin IVA. Datos leídos de extractos de búsqueda (WebFetch no disponible).</t>
        </is>
      </c>
    </row>
    <row r="29">
      <c r="A29" t="inlineStr">
        <is>
          <t>G2</t>
        </is>
      </c>
      <c r="B29" t="inlineStr">
        <is>
          <t>Concreto premezclado 4000 psi (28 MPa) puesto en obra en Barranquilla, sin bombeo</t>
        </is>
      </c>
      <c r="C29" t="inlineStr">
        <is>
          <t>COP/m3</t>
        </is>
      </c>
      <c r="D29" s="6" t="n">
        <v>530000</v>
      </c>
      <c r="E29" s="6" t="n">
        <v>590000</v>
      </c>
      <c r="F29" s="6" t="n">
        <v>670000</v>
      </c>
      <c r="G29" t="inlineStr">
        <is>
          <t>media</t>
        </is>
      </c>
      <c r="H29" t="inlineStr">
        <is>
          <t>Presucosto - Lista precios materiales construccion Colombia 2026</t>
        </is>
      </c>
      <c r="I29" t="inlineStr">
        <is>
          <t>https://presucosto.com/blog/precios-materiales-construccion-colombia-2026</t>
        </is>
      </c>
      <c r="J29" t="inlineStr">
        <is>
          <t>Diferencial típico 4000 vs 3000 psi de +10% a +12%. Recomendado para losas con voladizos de 1,2-1,6 m, piscina y concreto a la vista. Bombeo aparte (ver G1: ~65.000-110.000 COP/m³ según tamaño del vaciado). Sin IVA.</t>
        </is>
      </c>
    </row>
    <row r="30">
      <c r="A30" t="inlineStr">
        <is>
          <t>G3</t>
        </is>
      </c>
      <c r="B30" t="inlineStr">
        <is>
          <t>Acero de refuerzo 60.000 psi (420 MPa), suministro, figurado, amarre e instalación</t>
        </is>
      </c>
      <c r="C30" t="inlineStr">
        <is>
          <t>COP/kg</t>
        </is>
      </c>
      <c r="D30" s="6" t="n">
        <v>5200</v>
      </c>
      <c r="E30" s="6" t="n">
        <v>6300</v>
      </c>
      <c r="F30" s="6" t="n">
        <v>8000</v>
      </c>
      <c r="G30" t="inlineStr">
        <is>
          <t>media</t>
        </is>
      </c>
      <c r="H30" t="inlineStr">
        <is>
          <t>Homecenter - Varilla G-60 W 1/2 pulg x 6 m corrugada (Ferrasa)</t>
        </is>
      </c>
      <c r="I30" t="inlineStr">
        <is>
          <t>https://www.homecenter.com.co/homecenter-co/product/73637/varilla-g-60-w-1-2pulg-x6m-corrugada/73637/</t>
        </is>
      </c>
      <c r="J30" t="inlineStr">
        <is>
          <t>Precio s&amp;i (costo directo, sin AIU). Solo material: la varilla 1/2" (0,994 kg/m, ~5,96 kg) a $23.990 equivale a ~4.025 COP/kg con IVA al detal; paquete x50 ~2.680 COP/kg (sin stock); referencia mayorista 3.100-3.600 COP/kg sin IVA. Bajo: Edubar 2022 Barranquilla 5.231 ajustado por ICOCED (~+20% supuesto 2022-2026, ~5%/año; dic-2025 3,61%, feb-2026 6,31%) da ~6.300 = medio. Alto: ICCU 2025 Cundinamarca 7.950 (+6% = ~8.400) recortado a 8.000. La mano de obra subió más que los materiales por el alza del SMMLV 2026 (+23%).</t>
        </is>
      </c>
    </row>
    <row r="31">
      <c r="A31" t="inlineStr">
        <is>
          <t>G4</t>
        </is>
      </c>
      <c r="B31" t="inlineStr">
        <is>
          <t>Mampostería en bloque No. 4-5 (arcilla) o bloque de concreto No. 15, material por m² de muro (bloque + mortero de pega)</t>
        </is>
      </c>
      <c r="C31" t="inlineStr">
        <is>
          <t>COP/m2</t>
        </is>
      </c>
      <c r="D31" s="6" t="n">
        <v>27000</v>
      </c>
      <c r="E31" s="6" t="n">
        <v>42000</v>
      </c>
      <c r="F31" s="6" t="n">
        <v>62000</v>
      </c>
      <c r="G31" t="inlineStr">
        <is>
          <t>media</t>
        </is>
      </c>
      <c r="H31" t="inlineStr">
        <is>
          <t>Homecenter - Bloque N5 Estándar 12x20x30 cm (Ardesa)</t>
        </is>
      </c>
      <c r="I31" t="inlineStr">
        <is>
          <t>https://www.homecenter.com.co/homecenter-co/product/63172/bloque-n5-estandar-12x20x30cm-6k-15u-m2/63172/</t>
        </is>
      </c>
      <c r="J31" t="inlineStr">
        <is>
          <t>Cálculo propio: bajo = bloque No.5 arcilla 15 u x $1.400 = 21.000 + mortero de pega ~6.000 (≈0,018 m³/m² a ~350.000 COP/m³). Medio = bloque de concreto gris No.15 de bloquera local ~2.700-3.000/u x 12,5 u = ~35.000 + mortero ~8.000. Alto = bloque H15 abujardado/estructural $4.250 x 12,5 = 53.000 + mortero ~9.000. En Barranquilla domina el bloque de concreto. No incluye mano de obra (mampostería: ~18.000-30.000 COP/m² según presucosto/oneestimate 2026).</t>
        </is>
      </c>
    </row>
    <row r="32">
      <c r="A32" t="inlineStr">
        <is>
          <t>G5</t>
        </is>
      </c>
      <c r="B32" t="inlineStr">
        <is>
          <t>Cemento gris uso general, bulto 50 kg</t>
        </is>
      </c>
      <c r="C32" t="inlineStr">
        <is>
          <t>COP/bulto</t>
        </is>
      </c>
      <c r="D32" s="6" t="n">
        <v>32000</v>
      </c>
      <c r="E32" s="6" t="n">
        <v>34500</v>
      </c>
      <c r="F32" s="6" t="n">
        <v>38000</v>
      </c>
      <c r="G32" t="inlineStr">
        <is>
          <t>alta</t>
        </is>
      </c>
      <c r="H32" t="inlineStr">
        <is>
          <t>Ferretería Metrópolis Center (Barranquilla) - Cemento gris x 50 kg Argos</t>
        </is>
      </c>
      <c r="I32" t="inlineStr">
        <is>
          <t>https://www.metropoliscenter.com.co/p/cemento-gris-x-50-kg-argos/</t>
        </is>
      </c>
      <c r="J32" t="inlineStr">
        <is>
          <t>Varias fuentes concordantes en 32.000-38.000 con IVA; la única tienda ubicada en Barranquilla (Metrópolis Center) publica $36.250. Hay marcas más económicas en Homecenter (Alion, Topex uso general) sin precio visible en la búsqueda. Fechas exactas de captura no verificadas.</t>
        </is>
      </c>
    </row>
    <row r="33">
      <c r="A33" t="inlineStr">
        <is>
          <t>G6</t>
        </is>
      </c>
      <c r="B33" t="inlineStr">
        <is>
          <t>Arena de pega / arena de peña puesta en obra (volqueta)</t>
        </is>
      </c>
      <c r="C33" t="inlineStr">
        <is>
          <t>COP/m3</t>
        </is>
      </c>
      <c r="D33" s="6" t="n">
        <v>75000</v>
      </c>
      <c r="E33" s="6" t="n">
        <v>100000</v>
      </c>
      <c r="F33" s="6" t="n">
        <v>140000</v>
      </c>
      <c r="G33" t="inlineStr">
        <is>
          <t>media</t>
        </is>
      </c>
      <c r="H33" t="inlineStr">
        <is>
          <t>Construrama Colombia - Arena de peña x m3</t>
        </is>
      </c>
      <c r="I33" t="inlineStr">
        <is>
          <t>https://www.construramacolombia.com/CENTRALDEMATERIALES/catalogo/materiales-de-construccion/arenas/arena-de-pena-x-m3/p/100000947</t>
        </is>
      </c>
      <c r="J33" t="inlineStr">
        <is>
          <t>No se encontró precio publicado de arena en Barranquilla (solo una lista de 2015 de canteras locales, obsoleta). Barranquilla está cerca de canteras (Tubará, Puerto Colombia, Baranoa), por eso bajo = volqueta completa de cantera local; medio incluye flete típico; alto = pedidos pequeños o arena lavada. El precio de Homecenter (~251.000/m³) es formato detal y no es representativo para obra.</t>
        </is>
      </c>
    </row>
    <row r="34">
      <c r="A34" t="inlineStr">
        <is>
          <t>G7</t>
        </is>
      </c>
      <c r="B34" t="inlineStr">
        <is>
          <t>Losa de entrepiso aligerada (casetón) o maciza, espesor 30 cm, completa: formaleta/obra falsa, acero, concreto y vaciado</t>
        </is>
      </c>
      <c r="C34" t="inlineStr">
        <is>
          <t>COP/m2</t>
        </is>
      </c>
      <c r="D34" s="6" t="n">
        <v>300000</v>
      </c>
      <c r="E34" s="6" t="n">
        <v>390000</v>
      </c>
      <c r="F34" s="6" t="n">
        <v>520000</v>
      </c>
      <c r="G34" t="inlineStr">
        <is>
          <t>media</t>
        </is>
      </c>
      <c r="H34" t="inlineStr">
        <is>
          <t>ICCU - Lista de precios 2025 (Cundinamarca)</t>
        </is>
      </c>
      <c r="I34" t="inlineStr">
        <is>
          <t>https://www.iccu.gov.co/wcm/connect/ICCU/8455ae14-62a2-4597-842a-57d66960e5df/LISTA+DE+PRECIOS+ICCU+2025.pdf?MOD=AJPERES&amp;CVID=piU1ELe</t>
        </is>
      </c>
      <c r="J34" t="inlineStr">
        <is>
          <t>Las listas públicas cotizan la losa SIN acero. APU propio Barranquilla 2026 para aligerada 30 cm: concreto 0,15 m³ x ~560.000 (con bombeo) = 84.000 + acero ~22 kg x 6.300 = 139.000 + formaleta y obra falsa ~50.000 + aligerante ~20.000 + vaciado/curado ~25.000 = ~320.000. Contraste: ICCU 2025 185.000 + 20 kg x 7.950 = ~345.000 (2025), ~365.000 en 2026. Medio 390.000 por voladizos de 1,2-1,6 m (más acero y concreto 4000 psi). Alto = losa maciza 30 cm (0,30 m³ concreto + ~35 kg/m² acero) ≈ 480.000-520.000. Costo directo sin AIU.</t>
        </is>
      </c>
    </row>
    <row r="35">
      <c r="A35" t="inlineStr">
        <is>
          <t>G8</t>
        </is>
      </c>
      <c r="B35" t="inlineStr">
        <is>
          <t>Estructura completa de concreto (columnas, vigas, losas, escalera) para vivienda de 2 pisos, por m² construido, sin cimentación</t>
        </is>
      </c>
      <c r="C35" t="inlineStr">
        <is>
          <t>COP/m2 construido</t>
        </is>
      </c>
      <c r="D35" s="6" t="n">
        <v>600000</v>
      </c>
      <c r="E35" s="6" t="n">
        <v>800000</v>
      </c>
      <c r="F35" s="6" t="n">
        <v>1050000</v>
      </c>
      <c r="G35" t="inlineStr">
        <is>
          <t>media</t>
        </is>
      </c>
      <c r="H35" t="inlineStr">
        <is>
          <t>OneEstimate - Costos de construcción por m² Colombia 2026</t>
        </is>
      </c>
      <c r="I35" t="inlineStr">
        <is>
          <t>https://oneestimate.ai/es/blog/costos-construccion-por-m2-colombia-2026</t>
        </is>
      </c>
      <c r="J35" t="inlineStr">
        <is>
          <t>Ejemplo OneEstimate = ~708.000/m² de estructura y ~233.000/m² de cimentación. Argos da la obra gris completa (incluye cimentación, mampostería, pañetes y cubierta), por eso es mayor. Chequeo con APU propio para esta casa: ~280 m² de losa (entrepiso + cubiertas + voladizos) por 251 m² construidos = 1,1 m²/m² x 390.000 = ~430.000, más columnas, vigas de borde, escalera y doble altura (~120.000-200.000/m²) = ~550.000-650.000 en caso simple. Medio/alto suben por voladizos de 1,2-1,6 m, luces de la doble altura y concreto a la vista. No incluye cimentación (ver G11) ni sobrecosto de formaleta de tabla (G13).</t>
        </is>
      </c>
    </row>
    <row r="36">
      <c r="A36" t="inlineStr">
        <is>
          <t>G9</t>
        </is>
      </c>
      <c r="B36" t="inlineStr">
        <is>
          <t>Excavación mecánica en material común (sin retiro de sobrantes)</t>
        </is>
      </c>
      <c r="C36" t="inlineStr">
        <is>
          <t>COP/m3</t>
        </is>
      </c>
      <c r="D36" s="6" t="n">
        <v>15000</v>
      </c>
      <c r="E36" s="6" t="n">
        <v>26000</v>
      </c>
      <c r="F36" s="6" t="n">
        <v>38000</v>
      </c>
      <c r="G36" t="inlineStr">
        <is>
          <t>media</t>
        </is>
      </c>
      <c r="H36" t="inlineStr">
        <is>
          <t>Edubar (Barranquilla) presupuesto SA-07-2022</t>
        </is>
      </c>
      <c r="I36" t="inlineStr">
        <is>
          <t>https://admin.edubar.com.co/vistas/docs/SA-07-2022/18.pdf</t>
        </is>
      </c>
      <c r="J36" t="inlineStr">
        <is>
          <t>Medio = Edubar 2022 Barranquilla (22.656) ajustado ~+15-20% por ICOCED 2022-2026 (supuesto ~5%/año). Alto refleja volúmenes pequeños de lote residencial, movilización de la retroexcavadora y terreno en pendiente. NO incluye cargue, transporte y disposición en escombrera autorizada, que en lote urbano suma aprox. 35.000-50.000 COP/m³ adicionales (estimación propia, sin fuente publicada). Mayor parte del costo es equipo.</t>
        </is>
      </c>
    </row>
    <row r="37">
      <c r="A37" t="inlineStr">
        <is>
          <t>G10</t>
        </is>
      </c>
      <c r="B37" t="inlineStr">
        <is>
          <t>Relleno con material seleccionado importado (zahorra/afirmado/recebo), extendido y compactado al 95% Proctor</t>
        </is>
      </c>
      <c r="C37" t="inlineStr">
        <is>
          <t>COP/m3</t>
        </is>
      </c>
      <c r="D37" s="6" t="n">
        <v>80000</v>
      </c>
      <c r="E37" s="6" t="n">
        <v>115000</v>
      </c>
      <c r="F37" s="6" t="n">
        <v>150000</v>
      </c>
      <c r="G37" t="inlineStr">
        <is>
          <t>media</t>
        </is>
      </c>
      <c r="H37" t="inlineStr">
        <is>
          <t>EMCALI - Lista de precios oficial 2025</t>
        </is>
      </c>
      <c r="I37" t="inlineStr">
        <is>
          <t>https://www.emcali.com.co/documents/d/guest/lista-de-precios-emcali-2025-oficial</t>
        </is>
      </c>
      <c r="J37" t="inlineStr">
        <is>
          <t>Ojo: los ítems de ~14.000-23.000 COP/m³ usan material de la propia excavación (solo compactación). Con material importado, la referencia más reciente es EMCALI 2025 (113.516, ~120.000 en 2026). Barranquilla tiene canteras cercanas, por eso el bajo es menor que en el interior. Medio 115.000.</t>
        </is>
      </c>
    </row>
    <row r="38">
      <c r="A38" t="inlineStr">
        <is>
          <t>G11</t>
        </is>
      </c>
      <c r="B38" t="inlineStr">
        <is>
          <t>Sobrecosto de cimentación por suelos expansivos (arcillas) en Barranquilla: mejoramiento, losa o pilotes cortos</t>
        </is>
      </c>
      <c r="C38" t="inlineStr">
        <is>
          <t>COP/m2 de huella</t>
        </is>
      </c>
      <c r="D38" s="6" t="n">
        <v>90000</v>
      </c>
      <c r="E38" s="6" t="n">
        <v>200000</v>
      </c>
      <c r="F38" s="6" t="n">
        <v>450000</v>
      </c>
      <c r="G38" t="inlineStr">
        <is>
          <t>baja</t>
        </is>
      </c>
      <c r="H38" t="inlineStr">
        <is>
          <t>Red Ingenieros - Pilotes en Colombia: cuándo son la solución y cuánto cuesta instalarlos en 2026</t>
        </is>
      </c>
      <c r="I38" t="inlineStr">
        <is>
          <t>https://redingenieros.com/2026/08/17/pilotes-en-colombia-cuando-son-la-solucion-y-cuanto-cuesta-instalarlos-en-2026/</t>
        </is>
      </c>
      <c r="J38" t="inlineStr">
        <is>
          <t>Costo adicional sobre zapatas y vigas convencionales, por m² de huella (~160 m² sin piscina). Bajo: sustitución de 0,5-0,6 m de arcilla por material granular compactado + geotextil + control de aguas (excavación + retiro ~65.000 + relleno ~115.000 por m³ x 0,5 m). Medio: sustitución de ~1,0 m o losa de cimentación rígida en lugar de zapatas. Alto: pilas o pilotes cortos preexcavados de 5-8 m (≈18 pilas x 6 m ≈ 108 ml x 500.000-900.000 = 54-97 millones) con vigas aéreas separadas del suelo, menos las zapatas que se ahorran. No hay costo publicado específico para Barranquilla. El norte suele estar sobre terraza arrecifal y podría no necesitar nada; definirlo con estudio de suelos con ensayo de expansión (NSR-10 Título H). La pendiente del lote hacia el sur obliga a revisar el mapa U-10 de remoción en masa.</t>
        </is>
      </c>
    </row>
    <row r="39">
      <c r="A39" t="inlineStr">
        <is>
          <t>G12</t>
        </is>
      </c>
      <c r="B39" t="inlineStr">
        <is>
          <t>Impermeabilización de cubierta plana con manto asfáltico o membrana líquida, suministro e instalación</t>
        </is>
      </c>
      <c r="C39" t="inlineStr">
        <is>
          <t>COP/m2</t>
        </is>
      </c>
      <c r="D39" s="6" t="n">
        <v>60000</v>
      </c>
      <c r="E39" s="6" t="n">
        <v>110000</v>
      </c>
      <c r="F39" s="6" t="n">
        <v>165000</v>
      </c>
      <c r="G39" t="inlineStr">
        <is>
          <t>media</t>
        </is>
      </c>
      <c r="H39" t="inlineStr">
        <is>
          <t>Asmex - ¿Cuánto cuesta una impermeabilización por m² en Colombia? (Guía 2026)</t>
        </is>
      </c>
      <c r="I39" t="inlineStr">
        <is>
          <t>https://www.asmex.com.co/novedades/cuanto-cuesta-una-impermeabilizacion-en-colombia/</t>
        </is>
      </c>
      <c r="J39" t="inlineStr">
        <is>
          <t>Bajo = membrana líquida elastomérica reforzada (rango inferior de Asmex). Medio = manto asfáltico APP/SBS 3-4 mm instalado. Alto = manto 4 mm de doble capa o con foil, o poliurea, y manto antirraíz para los ~25 m² de cubierta verde. No se halló precio publicado en Barranquilla; los proveedores citan Bogotá, Medellín y Cartagena. Precios mayormente sin IVA.</t>
        </is>
      </c>
    </row>
    <row r="40">
      <c r="A40" t="inlineStr">
        <is>
          <t>G13</t>
        </is>
      </c>
      <c r="B40" t="inlineStr">
        <is>
          <t>Sobrecosto de concreto a la vista con formaleta de tabla (board-formed) frente a concreto con formaleta normal</t>
        </is>
      </c>
      <c r="C40" t="inlineStr">
        <is>
          <t>COP/m2 de superficie vista</t>
        </is>
      </c>
      <c r="D40" s="6" t="n">
        <v>70000</v>
      </c>
      <c r="E40" s="6" t="n">
        <v>120000</v>
      </c>
      <c r="F40" s="6" t="n">
        <v>200000</v>
      </c>
      <c r="G40" t="inlineStr">
        <is>
          <t>baja</t>
        </is>
      </c>
      <c r="H40" t="inlineStr">
        <is>
          <t>HerramientasPro - APU precios unitarios Colombia 2026</t>
        </is>
      </c>
      <c r="I40" t="inlineStr">
        <is>
          <t>https://herramientaspro.com.co/ing-civil/apu-precios-unitarios/</t>
        </is>
      </c>
      <c r="J40" t="inlineStr">
        <is>
          <t>No hay precio publicado del sobrecosto. Estimación propia. Formaleta normal reutilizada 3-5 veces ≈ 18.000-35.000/m². Formaleta de tabla rústica o cepillada con 1-2 usos, juntas selladas y alineación cuidadosa ≈ 60.000-100.000/m² (tabla ~50.000 según CYPE + armado). A eso se suman mezcla y vibrado cuidados, muestra de prueba, resanes de 20.000-65.000 (Findeter) e hidrofugante siloxano de ~15.000-25.000. Diferencia neta: bajo 70.000, medio 120.000, alto 200.000 (madera seleccionada, tabla de un solo uso, alto control de calidad). Aplica a la base de la fachada y a otros elementos vistos.</t>
        </is>
      </c>
    </row>
    <row r="41">
      <c r="A41" t="inlineStr">
        <is>
          <t>F1</t>
        </is>
      </c>
      <c r="B41" t="inlineStr">
        <is>
          <t>Porcelanato símil mármol gran formato 120x120 o 60x120 para piso (solo material)</t>
        </is>
      </c>
      <c r="C41" t="inlineStr">
        <is>
          <t>COP/m²</t>
        </is>
      </c>
      <c r="D41" s="6" t="n">
        <v>70000</v>
      </c>
      <c r="E41" s="6" t="n">
        <v>155000</v>
      </c>
      <c r="F41" s="6" t="n">
        <v>320000</v>
      </c>
      <c r="G41" t="inlineStr">
        <is>
          <t>media</t>
        </is>
      </c>
      <c r="H41" t="inlineStr">
        <is>
          <t>Homecenter Colombia: Corona Absolute 60x120, caja de 1,44 m²</t>
        </is>
      </c>
      <c r="I41" t="inlineStr">
        <is>
          <t>https://www.homecenter.com.co/homecenter-co/product/3047648/piso-porcelanato-absolute-60x120-cm-caja-144-m2-corona/3047648/</t>
        </is>
      </c>
      <c r="J41" t="inlineStr"/>
    </row>
    <row r="42">
      <c r="A42" t="inlineStr">
        <is>
          <t>F2</t>
        </is>
      </c>
      <c r="B42" t="inlineStr">
        <is>
          <t>Piso de madera de ingeniería de roble, suministro e instalación</t>
        </is>
      </c>
      <c r="C42" t="inlineStr">
        <is>
          <t>COP/m²</t>
        </is>
      </c>
      <c r="D42" s="6" t="n">
        <v>235000</v>
      </c>
      <c r="E42" s="6" t="n">
        <v>320000</v>
      </c>
      <c r="F42" s="6" t="n">
        <v>480000</v>
      </c>
      <c r="G42" t="inlineStr">
        <is>
          <t>baja</t>
        </is>
      </c>
      <c r="H42" t="inlineStr">
        <is>
          <t>Homecenter Colombia: piso en madera natural, caja de 2,14 m² (especie no indicada)</t>
        </is>
      </c>
      <c r="I42" t="inlineStr">
        <is>
          <t>https://www.homecenter.com.co/homecenter-co/product/411972/piso-en-madera-caja-214-m2-natural/411972/</t>
        </is>
      </c>
      <c r="J42" t="inlineStr"/>
    </row>
    <row r="43">
      <c r="A43" t="inlineStr">
        <is>
          <t>F3</t>
        </is>
      </c>
      <c r="B43" t="inlineStr">
        <is>
          <t>Microcemento en pisos y muros de baño, instalado (imprimación, malla, capas base y decorativas, sellador)</t>
        </is>
      </c>
      <c r="C43" t="inlineStr">
        <is>
          <t>COP/m²</t>
        </is>
      </c>
      <c r="D43" s="6" t="n">
        <v>125000</v>
      </c>
      <c r="E43" s="6" t="n">
        <v>175000</v>
      </c>
      <c r="F43" s="6" t="n">
        <v>270000</v>
      </c>
      <c r="G43" t="inlineStr">
        <is>
          <t>media</t>
        </is>
      </c>
      <c r="H43" t="inlineStr">
        <is>
          <t>CYPE, Generador de Precios Colombia: piso continuo de microcemento de 3 mm</t>
        </is>
      </c>
      <c r="I43" t="inlineStr">
        <is>
          <t>http://www.colombia.generadordeprecios.info/espacios_urbanos/Firmes_y_pisos_urbanos/Pisos_urbanos/Continuos_de_microcemento/Piso_continuo_de_microcemento.html</t>
        </is>
      </c>
      <c r="J43" t="inlineStr"/>
    </row>
    <row r="44">
      <c r="A44" t="inlineStr">
        <is>
          <t>F4</t>
        </is>
      </c>
      <c r="B44" t="inlineStr">
        <is>
          <t>Enchape de fachada en piedra coralina, suministro e instalación</t>
        </is>
      </c>
      <c r="C44" t="inlineStr">
        <is>
          <t>COP/m²</t>
        </is>
      </c>
      <c r="D44" s="6" t="n">
        <v>215000</v>
      </c>
      <c r="E44" s="6" t="n">
        <v>270000</v>
      </c>
      <c r="F44" s="6" t="n">
        <v>370000</v>
      </c>
      <c r="G44" t="inlineStr">
        <is>
          <t>media</t>
        </is>
      </c>
      <c r="H44" t="inlineStr">
        <is>
          <t>ExpoAreniscas: piedra coralina</t>
        </is>
      </c>
      <c r="I44" t="inlineStr">
        <is>
          <t>https://www.expoareniscas.com/producto/piedra-coralina/</t>
        </is>
      </c>
      <c r="J44" t="inlineStr"/>
    </row>
    <row r="45">
      <c r="A45" t="inlineStr">
        <is>
          <t>F5</t>
        </is>
      </c>
      <c r="B45" t="inlineStr">
        <is>
          <t>Estuco y pintura vinilo interior a tres manos, suministro e instalación</t>
        </is>
      </c>
      <c r="C45" t="inlineStr">
        <is>
          <t>COP/m²</t>
        </is>
      </c>
      <c r="D45" s="6" t="n">
        <v>22000</v>
      </c>
      <c r="E45" s="6" t="n">
        <v>28000</v>
      </c>
      <c r="F45" s="6" t="n">
        <v>38000</v>
      </c>
      <c r="G45" t="inlineStr">
        <is>
          <t>alta</t>
        </is>
      </c>
      <c r="H45" t="inlineStr">
        <is>
          <t>Gobernación de Boyacá, Anexo 1: APU 2025 (Res. 0050 del 5 de mayo de 2025)</t>
        </is>
      </c>
      <c r="I45" t="inlineStr">
        <is>
          <t>https://www.boyaca.gov.co/wp-content/uploads/2025/05/Anexo-1-Listado-de-APUS-resumido.pdf</t>
        </is>
      </c>
      <c r="J45" t="inlineStr"/>
    </row>
    <row r="46">
      <c r="A46" t="inlineStr">
        <is>
          <t>F6</t>
        </is>
      </c>
      <c r="B46" t="inlineStr">
        <is>
          <t>Pintura elastomérica o impermeabilizante de fachada, suministro e instalación</t>
        </is>
      </c>
      <c r="C46" t="inlineStr">
        <is>
          <t>COP/m²</t>
        </is>
      </c>
      <c r="D46" s="6" t="n">
        <v>32000</v>
      </c>
      <c r="E46" s="6" t="n">
        <v>45000</v>
      </c>
      <c r="F46" s="6" t="n">
        <v>65000</v>
      </c>
      <c r="G46" t="inlineStr">
        <is>
          <t>media</t>
        </is>
      </c>
      <c r="H46" t="inlineStr">
        <is>
          <t>Homecenter Colombia: Koraza Impermeabilizante blanco, 1 galón (Pintuco)</t>
        </is>
      </c>
      <c r="I46" t="inlineStr">
        <is>
          <t>https://www.homecenter.com.co/homecenter-co/product/725622/pintura-1-galon-koraza-impermeabilizante-blanco-pintuco/725622/</t>
        </is>
      </c>
      <c r="J46" t="inlineStr"/>
    </row>
    <row r="47">
      <c r="A47" t="inlineStr">
        <is>
          <t>F7</t>
        </is>
      </c>
      <c r="B47" t="inlineStr">
        <is>
          <t>Cielo raso en drywall con masilla y pintura, suministro e instalación</t>
        </is>
      </c>
      <c r="C47" t="inlineStr">
        <is>
          <t>COP/m²</t>
        </is>
      </c>
      <c r="D47" s="6" t="n">
        <v>58000</v>
      </c>
      <c r="E47" s="6" t="n">
        <v>80000</v>
      </c>
      <c r="F47" s="6" t="n">
        <v>110000</v>
      </c>
      <c r="G47" t="inlineStr">
        <is>
          <t>media</t>
        </is>
      </c>
      <c r="H47" t="inlineStr">
        <is>
          <t>Geztio: APU de cielo raso en drywall</t>
        </is>
      </c>
      <c r="I47" t="inlineStr">
        <is>
          <t>https://geztio.co/upa/co/cielo-raso-en-drywall</t>
        </is>
      </c>
      <c r="J47" t="inlineStr"/>
    </row>
    <row r="48">
      <c r="A48" t="inlineStr">
        <is>
          <t>F8</t>
        </is>
      </c>
      <c r="B48" t="inlineStr">
        <is>
          <t>Deck exterior en madera de teca (o ipé/abarco) sobre losa, suministro e instalación</t>
        </is>
      </c>
      <c r="C48" t="inlineStr">
        <is>
          <t>COP/m²</t>
        </is>
      </c>
      <c r="D48" s="6" t="n">
        <v>350000</v>
      </c>
      <c r="E48" s="6" t="n">
        <v>480000</v>
      </c>
      <c r="F48" s="6" t="n">
        <v>680000</v>
      </c>
      <c r="G48" t="inlineStr">
        <is>
          <t>media</t>
        </is>
      </c>
      <c r="H48" t="inlineStr">
        <is>
          <t>Forandes: construcción de piso deck en madera de teca exterior, 16 m²</t>
        </is>
      </c>
      <c r="I48" t="inlineStr">
        <is>
          <t>https://forandes.com/producto/construccion-de-piso-deck-en-madera-teca-exterior/</t>
        </is>
      </c>
      <c r="J48" t="inlineStr"/>
    </row>
    <row r="49">
      <c r="A49" t="inlineStr">
        <is>
          <t>F9</t>
        </is>
      </c>
      <c r="B49" t="inlineStr">
        <is>
          <t>Travertino o piedra natural antideslizante para el deck de la piscina, suministro e instalación</t>
        </is>
      </c>
      <c r="C49" t="inlineStr">
        <is>
          <t>COP/m²</t>
        </is>
      </c>
      <c r="D49" s="6" t="n">
        <v>210000</v>
      </c>
      <c r="E49" s="6" t="n">
        <v>285000</v>
      </c>
      <c r="F49" s="6" t="n">
        <v>420000</v>
      </c>
      <c r="G49" t="inlineStr">
        <is>
          <t>media</t>
        </is>
      </c>
      <c r="H49" t="inlineStr">
        <is>
          <t>MeUp Colombia: materiales para piscinas</t>
        </is>
      </c>
      <c r="I49" t="inlineStr">
        <is>
          <t>https://meup.co/categoria/piscinas</t>
        </is>
      </c>
      <c r="J49" t="inlineStr"/>
    </row>
    <row r="50">
      <c r="A50" t="inlineStr">
        <is>
          <t>F10</t>
        </is>
      </c>
      <c r="B50" t="inlineStr">
        <is>
          <t>Celosía o cielo en listones de madera (teca o similar) con bastidor, suministro e instalación</t>
        </is>
      </c>
      <c r="C50" t="inlineStr">
        <is>
          <t>COP/m²</t>
        </is>
      </c>
      <c r="D50" s="6" t="n">
        <v>230000</v>
      </c>
      <c r="E50" s="6" t="n">
        <v>340000</v>
      </c>
      <c r="F50" s="6" t="n">
        <v>520000</v>
      </c>
      <c r="G50" t="inlineStr">
        <is>
          <t>baja</t>
        </is>
      </c>
      <c r="H50" t="inlineStr">
        <is>
          <t>Forandes: listón de deck en teca de 8 x 1,8 cm</t>
        </is>
      </c>
      <c r="I50" t="inlineStr">
        <is>
          <t>https://forandes.com/producto/liston-de-deck-en-teca-8-cm-x-1-8-cm-por-metro-cuadrado/</t>
        </is>
      </c>
      <c r="J50" t="inlineStr"/>
    </row>
    <row r="51">
      <c r="A51" t="inlineStr">
        <is>
          <t>F11</t>
        </is>
      </c>
      <c r="B51" t="inlineStr">
        <is>
          <t>Pañete de muros (mortero 1:4 a 1:5, e = 1,5-2 cm), suministro e instalación</t>
        </is>
      </c>
      <c r="C51" t="inlineStr">
        <is>
          <t>COP/m²</t>
        </is>
      </c>
      <c r="D51" s="6" t="n">
        <v>27000</v>
      </c>
      <c r="E51" s="6" t="n">
        <v>36500</v>
      </c>
      <c r="F51" s="6" t="n">
        <v>46000</v>
      </c>
      <c r="G51" t="inlineStr">
        <is>
          <t>alta</t>
        </is>
      </c>
      <c r="H51" t="inlineStr">
        <is>
          <t>Gobernación de Boyacá, Anexo 1: APU 2025</t>
        </is>
      </c>
      <c r="I51" t="inlineStr">
        <is>
          <t>https://www.boyaca.gov.co/wp-content/uploads/2025/05/Anexo-1-Listado-de-APUS-resumido.pdf</t>
        </is>
      </c>
      <c r="J51" t="inlineStr"/>
    </row>
    <row r="52">
      <c r="A52" t="inlineStr">
        <is>
          <t>F12</t>
        </is>
      </c>
      <c r="B52" t="inlineStr">
        <is>
          <t>Cubierta verde extensiva (sedum o grama) sobre losa: membrana antirraíz, drenaje, geotextil, sustrato y vegetación, suministro e instalación</t>
        </is>
      </c>
      <c r="C52" t="inlineStr">
        <is>
          <t>COP/m²</t>
        </is>
      </c>
      <c r="D52" s="6" t="n">
        <v>170000</v>
      </c>
      <c r="E52" s="6" t="n">
        <v>240000</v>
      </c>
      <c r="F52" s="6" t="n">
        <v>350000</v>
      </c>
      <c r="G52" t="inlineStr">
        <is>
          <t>baja</t>
        </is>
      </c>
      <c r="H52" t="inlineStr"/>
      <c r="I52" t="inlineStr"/>
      <c r="J52" t="inlineStr"/>
    </row>
    <row r="53">
      <c r="A53" t="inlineStr">
        <is>
          <t>W1</t>
        </is>
      </c>
      <c r="B53" t="inlineStr">
        <is>
          <t>Ventanería de aluminio negro con vidrio laminado de control solar, corrediza de piso a techo, s&amp;i</t>
        </is>
      </c>
      <c r="C53" t="inlineStr">
        <is>
          <t>COP/m²</t>
        </is>
      </c>
      <c r="D53" s="6" t="n">
        <v>650000</v>
      </c>
      <c r="E53" s="6" t="n">
        <v>900000</v>
      </c>
      <c r="F53" s="6" t="n">
        <v>1300000</v>
      </c>
      <c r="G53" t="inlineStr">
        <is>
          <t>media</t>
        </is>
      </c>
      <c r="H53" t="inlineStr">
        <is>
          <t>Diseños y Estructuras JH, lista 2026 (Bogotá)</t>
        </is>
      </c>
      <c r="I53" t="inlineStr">
        <is>
          <t>https://disenosyestructurasjh.com/producto/ventana-corrediza/</t>
        </is>
      </c>
      <c r="J53" t="inlineStr">
        <is>
          <t>Las series básicas instaladas en Bogotá arrancan en $270.000/m² y la termoacústica en $800.000/m² más IVA. Esta casa usa hojas grandes de piso a techo, perfil pesado anodizado negro y vidrio laminado de control solar, por eso el rango arranca por encima de la serie 80-25 con IVA. Barranquilla tiene fabricantes de primer nivel (Tecnoglass), lo que ayuda a conseguir el valor bajo.</t>
        </is>
      </c>
    </row>
    <row r="54">
      <c r="A54" t="inlineStr">
        <is>
          <t>W2</t>
        </is>
      </c>
      <c r="B54" t="inlineStr">
        <is>
          <t>Muro cortina / fachada flotante de doble altura</t>
        </is>
      </c>
      <c r="C54" t="inlineStr">
        <is>
          <t>COP/m²</t>
        </is>
      </c>
      <c r="D54" s="6" t="n">
        <v>900000</v>
      </c>
      <c r="E54" s="6" t="n">
        <v>1250000</v>
      </c>
      <c r="F54" s="6" t="n">
        <v>1800000</v>
      </c>
      <c r="G54" t="inlineStr">
        <is>
          <t>baja</t>
        </is>
      </c>
      <c r="H54" t="inlineStr">
        <is>
          <t>Estimación propia (sin precio publicado encontrado)</t>
        </is>
      </c>
      <c r="I54" t="inlineStr"/>
      <c r="J54" t="inlineStr">
        <is>
          <t>Sin precio publicado. Se estima un 35-40 % por encima de W1 por la perfilería estructural de 6 m, el anclaje a losa y el vidrio laminado de mayor espesor.</t>
        </is>
      </c>
    </row>
    <row r="55">
      <c r="A55" t="inlineStr">
        <is>
          <t>W3</t>
        </is>
      </c>
      <c r="B55" t="inlineStr">
        <is>
          <t>Baranda de vidrio laminado templado 10+10 con perfil de piso</t>
        </is>
      </c>
      <c r="C55" t="inlineStr">
        <is>
          <t>COP/ml</t>
        </is>
      </c>
      <c r="D55" s="6" t="n">
        <v>900000</v>
      </c>
      <c r="E55" s="6" t="n">
        <v>1300000</v>
      </c>
      <c r="F55" s="6" t="n">
        <v>1900000</v>
      </c>
      <c r="G55" t="inlineStr">
        <is>
          <t>baja</t>
        </is>
      </c>
      <c r="H55" t="inlineStr">
        <is>
          <t>Estimación propia (sin precio publicado encontrado)</t>
        </is>
      </c>
      <c r="I55" t="inlineStr"/>
      <c r="J55" t="inlineStr">
        <is>
          <t>Sin precio publicado de 2026. 1,05 m² de vidrio laminado templado por ml (≈$400-600 mil) + perfil de aluminio empotrado + pasamanos de acero + instalación.</t>
        </is>
      </c>
    </row>
    <row r="56">
      <c r="A56" t="inlineStr">
        <is>
          <t>W4</t>
        </is>
      </c>
      <c r="B56" t="inlineStr">
        <is>
          <t>Puerta principal pivotante en teca maciza 1,40 × 3,00 m con pivote</t>
        </is>
      </c>
      <c r="C56" t="inlineStr">
        <is>
          <t>COP/und</t>
        </is>
      </c>
      <c r="D56" s="6" t="n">
        <v>9000000</v>
      </c>
      <c r="E56" s="6" t="n">
        <v>14000000</v>
      </c>
      <c r="F56" s="6" t="n">
        <v>22000000</v>
      </c>
      <c r="G56" t="inlineStr">
        <is>
          <t>baja</t>
        </is>
      </c>
      <c r="H56" t="inlineStr">
        <is>
          <t>Estimación propia (sin precio publicado encontrado)</t>
        </is>
      </c>
      <c r="I56" t="inlineStr"/>
      <c r="J56" t="inlineStr">
        <is>
          <t>Sin precio publicado. 4,2 m² de hoja maciza en teca con alma estructural, pivote de piso de alta carga y cerradura de seguridad.</t>
        </is>
      </c>
    </row>
    <row r="57">
      <c r="A57" t="inlineStr">
        <is>
          <t>W5</t>
        </is>
      </c>
      <c r="B57" t="inlineStr">
        <is>
          <t>Puerta de garaje seccional motorizada 2,35 × 2,40</t>
        </is>
      </c>
      <c r="C57" t="inlineStr">
        <is>
          <t>COP/und</t>
        </is>
      </c>
      <c r="D57" s="6" t="n">
        <v>7000000</v>
      </c>
      <c r="E57" s="6" t="n">
        <v>9500000</v>
      </c>
      <c r="F57" s="6" t="n">
        <v>13000000</v>
      </c>
      <c r="G57" t="inlineStr">
        <is>
          <t>baja</t>
        </is>
      </c>
      <c r="H57" t="inlineStr">
        <is>
          <t>Estimación propia (sin precio publicado encontrado)</t>
        </is>
      </c>
      <c r="I57" t="inlineStr"/>
      <c r="J57" t="inlineStr">
        <is>
          <t>Sin precio publicado de 2026. Panel aislado de aluminio con acabado madera, motor con control y sensores.</t>
        </is>
      </c>
    </row>
    <row r="58">
      <c r="A58" t="inlineStr">
        <is>
          <t>W6</t>
        </is>
      </c>
      <c r="B58" t="inlineStr">
        <is>
          <t>Cocina integral de alta gama (muebles, herrajes, sin mesón ni electrodomésticos)</t>
        </is>
      </c>
      <c r="C58" t="inlineStr">
        <is>
          <t>COP/ml</t>
        </is>
      </c>
      <c r="D58" s="6" t="n">
        <v>2200000</v>
      </c>
      <c r="E58" s="6" t="n">
        <v>3200000</v>
      </c>
      <c r="F58" s="6" t="n">
        <v>5000000</v>
      </c>
      <c r="G58" t="inlineStr">
        <is>
          <t>baja</t>
        </is>
      </c>
      <c r="H58" t="inlineStr">
        <is>
          <t>Roomix, renovar cocina 2026</t>
        </is>
      </c>
      <c r="I58" t="inlineStr">
        <is>
          <t>https://roomix.ai/blog/cuanto-cuesta-renovar-cocina-2026</t>
        </is>
      </c>
      <c r="J58" t="inlineStr">
        <is>
          <t>Las guías de 2026 dan $0,8-1,2 millones por ml en madera maciza sin mesón; una cocina con torres de piso a techo, enchape de nogal, herrajes de cierre suave e isla con caídas suma bajo y alto por ml lineal de planta, así que se toma 2,5-4 veces ese valor.</t>
        </is>
      </c>
    </row>
    <row r="59">
      <c r="A59" t="inlineStr">
        <is>
          <t>W7</t>
        </is>
      </c>
      <c r="B59" t="inlineStr">
        <is>
          <t>Closet o vestier de piso a techo en madera</t>
        </is>
      </c>
      <c r="C59" t="inlineStr">
        <is>
          <t>COP/ml</t>
        </is>
      </c>
      <c r="D59" s="6" t="n">
        <v>1100000</v>
      </c>
      <c r="E59" s="6" t="n">
        <v>1600000</v>
      </c>
      <c r="F59" s="6" t="n">
        <v>2400000</v>
      </c>
      <c r="G59" t="inlineStr">
        <is>
          <t>baja</t>
        </is>
      </c>
      <c r="H59" t="inlineStr">
        <is>
          <t>Estimación propia (sin precio publicado encontrado)</t>
        </is>
      </c>
      <c r="I59" t="inlineStr"/>
      <c r="J59" t="inlineStr">
        <is>
          <t>Se toma 50 % del valor por ml de la cocina: misma carpintería, sin isla ni torres de electrodomésticos.</t>
        </is>
      </c>
    </row>
    <row r="60">
      <c r="A60" t="inlineStr">
        <is>
          <t>W8</t>
        </is>
      </c>
      <c r="B60" t="inlineStr">
        <is>
          <t>Puerta interior maciza con marco y herrajes, s&amp;i</t>
        </is>
      </c>
      <c r="C60" t="inlineStr">
        <is>
          <t>COP/und</t>
        </is>
      </c>
      <c r="D60" s="6" t="n">
        <v>900000</v>
      </c>
      <c r="E60" s="6" t="n">
        <v>1300000</v>
      </c>
      <c r="F60" s="6" t="n">
        <v>2000000</v>
      </c>
      <c r="G60" t="inlineStr">
        <is>
          <t>baja</t>
        </is>
      </c>
      <c r="H60" t="inlineStr">
        <is>
          <t>Estimación propia (sin precio publicado encontrado)</t>
        </is>
      </c>
      <c r="I60" t="inlineStr"/>
      <c r="J60" t="inlineStr">
        <is>
          <t>Sin precio publicado de 2026.</t>
        </is>
      </c>
    </row>
    <row r="61">
      <c r="A61" t="inlineStr">
        <is>
          <t>W9</t>
        </is>
      </c>
      <c r="B61" t="inlineStr">
        <is>
          <t>Sanitario suspendido con tanque empotrado</t>
        </is>
      </c>
      <c r="C61" t="inlineStr">
        <is>
          <t>COP/und</t>
        </is>
      </c>
      <c r="D61" s="6" t="n">
        <v>1600000</v>
      </c>
      <c r="E61" s="6" t="n">
        <v>2400000</v>
      </c>
      <c r="F61" s="6" t="n">
        <v>3600000</v>
      </c>
      <c r="G61" t="inlineStr">
        <is>
          <t>baja</t>
        </is>
      </c>
      <c r="H61" t="inlineStr">
        <is>
          <t>Estimación propia (sin precio publicado encontrado)</t>
        </is>
      </c>
      <c r="I61" t="inlineStr"/>
      <c r="J61" t="inlineStr">
        <is>
          <t>Sin precio publicado. Incluye estructura empotrada y pulsador.</t>
        </is>
      </c>
    </row>
    <row r="62">
      <c r="A62" t="inlineStr">
        <is>
          <t>W10</t>
        </is>
      </c>
      <c r="B62" t="inlineStr">
        <is>
          <t>Grifería de lavamanos de alta gama</t>
        </is>
      </c>
      <c r="C62" t="inlineStr">
        <is>
          <t>COP/und</t>
        </is>
      </c>
      <c r="D62" s="6" t="n">
        <v>400000</v>
      </c>
      <c r="E62" s="6" t="n">
        <v>750000</v>
      </c>
      <c r="F62" s="6" t="n">
        <v>1400000</v>
      </c>
      <c r="G62" t="inlineStr">
        <is>
          <t>baja</t>
        </is>
      </c>
      <c r="H62" t="inlineStr">
        <is>
          <t>Estimación propia (sin precio publicado encontrado)</t>
        </is>
      </c>
      <c r="I62" t="inlineStr"/>
      <c r="J62" t="inlineStr">
        <is>
          <t>Sin precio publicado.</t>
        </is>
      </c>
    </row>
    <row r="63">
      <c r="A63" t="inlineStr">
        <is>
          <t>W11</t>
        </is>
      </c>
      <c r="B63" t="inlineStr">
        <is>
          <t>Ducha completa con mezclador empotrado y regadera tipo lluvia</t>
        </is>
      </c>
      <c r="C63" t="inlineStr">
        <is>
          <t>COP/und</t>
        </is>
      </c>
      <c r="D63" s="6" t="n">
        <v>1200000</v>
      </c>
      <c r="E63" s="6" t="n">
        <v>2000000</v>
      </c>
      <c r="F63" s="6" t="n">
        <v>3500000</v>
      </c>
      <c r="G63" t="inlineStr">
        <is>
          <t>baja</t>
        </is>
      </c>
      <c r="H63" t="inlineStr">
        <is>
          <t>Estimación propia (sin precio publicado encontrado)</t>
        </is>
      </c>
      <c r="I63" t="inlineStr"/>
      <c r="J63" t="inlineStr">
        <is>
          <t>Sin precio publicado.</t>
        </is>
      </c>
    </row>
    <row r="64">
      <c r="A64" t="inlineStr">
        <is>
          <t>W12</t>
        </is>
      </c>
      <c r="B64" t="inlineStr">
        <is>
          <t>Bañera exenta de 1,70 m en solid surface</t>
        </is>
      </c>
      <c r="C64" t="inlineStr">
        <is>
          <t>COP/und</t>
        </is>
      </c>
      <c r="D64" s="6" t="n">
        <v>4500000</v>
      </c>
      <c r="E64" s="6" t="n">
        <v>7000000</v>
      </c>
      <c r="F64" s="6" t="n">
        <v>12000000</v>
      </c>
      <c r="G64" t="inlineStr">
        <is>
          <t>baja</t>
        </is>
      </c>
      <c r="H64" t="inlineStr">
        <is>
          <t>Estimación propia (sin precio publicado encontrado)</t>
        </is>
      </c>
      <c r="I64" t="inlineStr"/>
      <c r="J64" t="inlineStr">
        <is>
          <t>Sin precio publicado.</t>
        </is>
      </c>
    </row>
    <row r="65">
      <c r="A65" t="inlineStr">
        <is>
          <t>W13</t>
        </is>
      </c>
      <c r="B65" t="inlineStr">
        <is>
          <t>Lavamanos de sobreponer</t>
        </is>
      </c>
      <c r="C65" t="inlineStr">
        <is>
          <t>COP/und</t>
        </is>
      </c>
      <c r="D65" s="6" t="n">
        <v>350000</v>
      </c>
      <c r="E65" s="6" t="n">
        <v>600000</v>
      </c>
      <c r="F65" s="6" t="n">
        <v>1100000</v>
      </c>
      <c r="G65" t="inlineStr">
        <is>
          <t>baja</t>
        </is>
      </c>
      <c r="H65" t="inlineStr">
        <is>
          <t>Estimación propia (sin precio publicado encontrado)</t>
        </is>
      </c>
      <c r="I65" t="inlineStr"/>
      <c r="J65" t="inlineStr">
        <is>
          <t>Sin precio publicado.</t>
        </is>
      </c>
    </row>
    <row r="66">
      <c r="A66" t="inlineStr">
        <is>
          <t>W14</t>
        </is>
      </c>
      <c r="B66" t="inlineStr">
        <is>
          <t>Mueble de baño flotante</t>
        </is>
      </c>
      <c r="C66" t="inlineStr">
        <is>
          <t>COP/und</t>
        </is>
      </c>
      <c r="D66" s="6" t="n">
        <v>1400000</v>
      </c>
      <c r="E66" s="6" t="n">
        <v>2200000</v>
      </c>
      <c r="F66" s="6" t="n">
        <v>3500000</v>
      </c>
      <c r="G66" t="inlineStr">
        <is>
          <t>baja</t>
        </is>
      </c>
      <c r="H66" t="inlineStr">
        <is>
          <t>Estimación propia (sin precio publicado encontrado)</t>
        </is>
      </c>
      <c r="I66" t="inlineStr"/>
      <c r="J66" t="inlineStr">
        <is>
          <t>Promedio de un vanity doble y tres sencillos.</t>
        </is>
      </c>
    </row>
    <row r="67">
      <c r="A67" t="inlineStr">
        <is>
          <t>W15</t>
        </is>
      </c>
      <c r="B67" t="inlineStr">
        <is>
          <t>Calentador de agua de paso a gas de alta capacidad</t>
        </is>
      </c>
      <c r="C67" t="inlineStr">
        <is>
          <t>COP/und</t>
        </is>
      </c>
      <c r="D67" s="6" t="n">
        <v>2500000</v>
      </c>
      <c r="E67" s="6" t="n">
        <v>4000000</v>
      </c>
      <c r="F67" s="6" t="n">
        <v>7000000</v>
      </c>
      <c r="G67" t="inlineStr">
        <is>
          <t>baja</t>
        </is>
      </c>
      <c r="H67" t="inlineStr">
        <is>
          <t>Estimación propia (sin precio publicado encontrado)</t>
        </is>
      </c>
      <c r="I67" t="inlineStr"/>
      <c r="J67" t="inlineStr">
        <is>
          <t>El valor alto corresponde a bomba de calor.</t>
        </is>
      </c>
    </row>
    <row r="68">
      <c r="A68" t="inlineStr">
        <is>
          <t>W16</t>
        </is>
      </c>
      <c r="B68" t="inlineStr">
        <is>
          <t>Mesón en porcelánico Calacatta de 12 mm</t>
        </is>
      </c>
      <c r="C68" t="inlineStr">
        <is>
          <t>COP/ml</t>
        </is>
      </c>
      <c r="D68" s="6" t="n">
        <v>900000</v>
      </c>
      <c r="E68" s="6" t="n">
        <v>1300000</v>
      </c>
      <c r="F68" s="6" t="n">
        <v>2000000</v>
      </c>
      <c r="G68" t="inlineStr">
        <is>
          <t>baja</t>
        </is>
      </c>
      <c r="H68" t="inlineStr">
        <is>
          <t>Estimación propia (sin precio publicado encontrado)</t>
        </is>
      </c>
      <c r="I68" t="inlineStr"/>
      <c r="J68" t="inlineStr">
        <is>
          <t>Sin precio publicado; incluye corte, cantos y caídas en cascada de la isla.</t>
        </is>
      </c>
    </row>
    <row r="69">
      <c r="A69" t="inlineStr">
        <is>
          <t>M1</t>
        </is>
      </c>
      <c r="B69" t="inlineStr">
        <is>
          <t>Instalación eléctrica completa con tableros y RETIE</t>
        </is>
      </c>
      <c r="C69" t="inlineStr">
        <is>
          <t>COP/m²</t>
        </is>
      </c>
      <c r="D69" s="6" t="n">
        <v>170000</v>
      </c>
      <c r="E69" s="6" t="n">
        <v>230000</v>
      </c>
      <c r="F69" s="6" t="n">
        <v>320000</v>
      </c>
      <c r="G69" t="inlineStr">
        <is>
          <t>baja</t>
        </is>
      </c>
      <c r="H69" t="inlineStr">
        <is>
          <t>OneEstimate, APU instalaciones eléctricas</t>
        </is>
      </c>
      <c r="I69" t="inlineStr">
        <is>
          <t>https://oneestimate.ai/blog/apu-instalaciones-electricas-construccion</t>
        </is>
      </c>
      <c r="J69" t="inlineStr">
        <is>
          <t>Las guías ubican las eléctricas en 5-8 % del costo directo; con un costo directo de $4-4,5 millones/m² eso da $200-360 mil/m². Coherente con unas 160 salidas a ~$84.000 más tableros, acometida interna y puesta a tierra.</t>
        </is>
      </c>
    </row>
    <row r="70">
      <c r="A70" t="inlineStr">
        <is>
          <t>M2</t>
        </is>
      </c>
      <c r="B70" t="inlineStr">
        <is>
          <t>Iluminación LED interior y exterior (luminarias)</t>
        </is>
      </c>
      <c r="C70" t="inlineStr">
        <is>
          <t>COP/m²</t>
        </is>
      </c>
      <c r="D70" s="6" t="n">
        <v>60000</v>
      </c>
      <c r="E70" s="6" t="n">
        <v>95000</v>
      </c>
      <c r="F70" s="6" t="n">
        <v>150000</v>
      </c>
      <c r="G70" t="inlineStr">
        <is>
          <t>baja</t>
        </is>
      </c>
      <c r="H70" t="inlineStr">
        <is>
          <t>Estimación propia (sin precio publicado encontrado)</t>
        </is>
      </c>
      <c r="I70" t="inlineStr"/>
      <c r="J70" t="inlineStr">
        <is>
          <t>Sin precio publicado.</t>
        </is>
      </c>
    </row>
    <row r="71">
      <c r="A71" t="inlineStr">
        <is>
          <t>M3</t>
        </is>
      </c>
      <c r="B71" t="inlineStr">
        <is>
          <t>Red hidrosanitaria completa (fría, caliente, desagües, aguas lluvias)</t>
        </is>
      </c>
      <c r="C71" t="inlineStr">
        <is>
          <t>COP/m²</t>
        </is>
      </c>
      <c r="D71" s="6" t="n">
        <v>150000</v>
      </c>
      <c r="E71" s="6" t="n">
        <v>210000</v>
      </c>
      <c r="F71" s="6" t="n">
        <v>290000</v>
      </c>
      <c r="G71" t="inlineStr">
        <is>
          <t>baja</t>
        </is>
      </c>
      <c r="H71" t="inlineStr">
        <is>
          <t>OneEstimate, APU instalaciones eléctricas</t>
        </is>
      </c>
      <c r="I71" t="inlineStr">
        <is>
          <t>https://oneestimate.ai/blog/apu-instalaciones-electricas-construccion</t>
        </is>
      </c>
      <c r="J71" t="inlineStr">
        <is>
          <t>Las guías ubican las hidrosanitarias en 6-10 % del costo directo; con 4 baños, cocina, lavandería y aguas lluvias de cubierta se toma la parte baja de ese rango.</t>
        </is>
      </c>
    </row>
    <row r="72">
      <c r="A72" t="inlineStr">
        <is>
          <t>M4</t>
        </is>
      </c>
      <c r="B72" t="inlineStr">
        <is>
          <t>Red interna de gas natural</t>
        </is>
      </c>
      <c r="C72" t="inlineStr">
        <is>
          <t>COP/global</t>
        </is>
      </c>
      <c r="D72" s="6" t="n">
        <v>2500000</v>
      </c>
      <c r="E72" s="6" t="n">
        <v>3500000</v>
      </c>
      <c r="F72" s="6" t="n">
        <v>5000000</v>
      </c>
      <c r="G72" t="inlineStr">
        <is>
          <t>baja</t>
        </is>
      </c>
      <c r="H72" t="inlineStr">
        <is>
          <t>Estimación propia (sin precio publicado encontrado)</t>
        </is>
      </c>
      <c r="I72" t="inlineStr"/>
      <c r="J72" t="inlineStr">
        <is>
          <t>Sin precio publicado.</t>
        </is>
      </c>
    </row>
    <row r="73">
      <c r="A73" t="inlineStr">
        <is>
          <t>M5</t>
        </is>
      </c>
      <c r="B73" t="inlineStr">
        <is>
          <t>Mini split inverter de 12.000 BTU instalado</t>
        </is>
      </c>
      <c r="C73" t="inlineStr">
        <is>
          <t>COP/und</t>
        </is>
      </c>
      <c r="D73" s="6" t="n">
        <v>2800000</v>
      </c>
      <c r="E73" s="6" t="n">
        <v>3600000</v>
      </c>
      <c r="F73" s="6" t="n">
        <v>4800000</v>
      </c>
      <c r="G73" t="inlineStr">
        <is>
          <t>media</t>
        </is>
      </c>
      <c r="H73" t="inlineStr">
        <is>
          <t>Cuánto me cuesta, aire acondicionado (abr-2026)</t>
        </is>
      </c>
      <c r="I73" t="inlineStr">
        <is>
          <t>https://cuantomecuesta.com/co/aire-acondicionado/</t>
        </is>
      </c>
      <c r="J73" t="inlineStr">
        <is>
          <t>Una calculadora colombiana de 2026 da unos $5 millones para equipos de 12.000-24.000 BTU instalados; para 12.000 BTU se toma la parte baja.</t>
        </is>
      </c>
    </row>
    <row r="74">
      <c r="A74" t="inlineStr">
        <is>
          <t>M7</t>
        </is>
      </c>
      <c r="B74" t="inlineStr">
        <is>
          <t>Mini split inverter de 24.000 BTU instalado</t>
        </is>
      </c>
      <c r="C74" t="inlineStr">
        <is>
          <t>COP/und</t>
        </is>
      </c>
      <c r="D74" s="6" t="n">
        <v>4600000</v>
      </c>
      <c r="E74" s="6" t="n">
        <v>6000000</v>
      </c>
      <c r="F74" s="6" t="n">
        <v>8000000</v>
      </c>
      <c r="G74" t="inlineStr">
        <is>
          <t>media</t>
        </is>
      </c>
      <c r="H74" t="inlineStr">
        <is>
          <t>Cuánto me cuesta, aire acondicionado (abr-2026)</t>
        </is>
      </c>
      <c r="I74" t="inlineStr">
        <is>
          <t>https://cuantomecuesta.com/co/aire-acondicionado/</t>
        </is>
      </c>
      <c r="J74" t="inlineStr">
        <is>
          <t>Misma fuente que M5, parte alta del rango.</t>
        </is>
      </c>
    </row>
    <row r="75">
      <c r="A75" t="inlineStr">
        <is>
          <t>M9</t>
        </is>
      </c>
      <c r="B75" t="inlineStr">
        <is>
          <t>Sistema solar fotovoltaico conectado a red, instalado y legalizado</t>
        </is>
      </c>
      <c r="C75" t="inlineStr">
        <is>
          <t>COP/kWp</t>
        </is>
      </c>
      <c r="D75" s="6" t="n">
        <v>3400000</v>
      </c>
      <c r="E75" s="6" t="n">
        <v>4000000</v>
      </c>
      <c r="F75" s="6" t="n">
        <v>4700000</v>
      </c>
      <c r="G75" t="inlineStr">
        <is>
          <t>media</t>
        </is>
      </c>
      <c r="H75" t="inlineStr">
        <is>
          <t>OPS Colombia, guía 2026</t>
        </is>
      </c>
      <c r="I75" t="inlineStr">
        <is>
          <t>https://www.opscolombia.com/blog/cuanto-cuesta-realmente-un-sistema-solar-en-colombia</t>
        </is>
      </c>
      <c r="J75" t="inlineStr">
        <is>
          <t>Varias guías de 2026 coinciden en $3,5-5 millones por kWp con RETIE y trámites ante el operador de red. La exclusión de IVA de la Ley 1715 ya se refleja en esos precios de mercado.</t>
        </is>
      </c>
    </row>
    <row r="76">
      <c r="A76" t="inlineStr">
        <is>
          <t>M10</t>
        </is>
      </c>
      <c r="B76" t="inlineStr">
        <is>
          <t>Batería de litio (LFP) para respaldo</t>
        </is>
      </c>
      <c r="C76" t="inlineStr">
        <is>
          <t>COP/kWh</t>
        </is>
      </c>
      <c r="D76" s="6" t="n">
        <v>1600000</v>
      </c>
      <c r="E76" s="6" t="n">
        <v>2200000</v>
      </c>
      <c r="F76" s="6" t="n">
        <v>3000000</v>
      </c>
      <c r="G76" t="inlineStr">
        <is>
          <t>baja</t>
        </is>
      </c>
      <c r="H76" t="inlineStr">
        <is>
          <t>Estimación propia (sin precio publicado encontrado)</t>
        </is>
      </c>
      <c r="I76" t="inlineStr"/>
      <c r="J76" t="inlineStr">
        <is>
          <t>Sin precio publicado de 2026 en pesos.</t>
        </is>
      </c>
    </row>
    <row r="77">
      <c r="A77" t="inlineStr">
        <is>
          <t>M11</t>
        </is>
      </c>
      <c r="B77" t="inlineStr">
        <is>
          <t>Inversor híbrido de 10 kW</t>
        </is>
      </c>
      <c r="C77" t="inlineStr">
        <is>
          <t>COP/und</t>
        </is>
      </c>
      <c r="D77" s="6" t="n">
        <v>9000000</v>
      </c>
      <c r="E77" s="6" t="n">
        <v>12000000</v>
      </c>
      <c r="F77" s="6" t="n">
        <v>16000000</v>
      </c>
      <c r="G77" t="inlineStr">
        <is>
          <t>baja</t>
        </is>
      </c>
      <c r="H77" t="inlineStr">
        <is>
          <t>Estimación propia (sin precio publicado encontrado)</t>
        </is>
      </c>
      <c r="I77" t="inlineStr"/>
      <c r="J77" t="inlineStr">
        <is>
          <t>Sin precio publicado; en el presupuesto solo entra el 50 % como mayor valor frente al inversor de red.</t>
        </is>
      </c>
    </row>
    <row r="78">
      <c r="A78" t="inlineStr">
        <is>
          <t>M13</t>
        </is>
      </c>
      <c r="B78" t="inlineStr">
        <is>
          <t>Acometida y conexión eléctrica con Air-e</t>
        </is>
      </c>
      <c r="C78" t="inlineStr">
        <is>
          <t>COP/global</t>
        </is>
      </c>
      <c r="D78" s="6" t="n">
        <v>4000000</v>
      </c>
      <c r="E78" s="6" t="n">
        <v>6000000</v>
      </c>
      <c r="F78" s="6" t="n">
        <v>9000000</v>
      </c>
      <c r="G78" t="inlineStr">
        <is>
          <t>baja</t>
        </is>
      </c>
      <c r="H78" t="inlineStr">
        <is>
          <t>Estimación propia (sin precio publicado encontrado)</t>
        </is>
      </c>
      <c r="I78" t="inlineStr"/>
      <c r="J78" t="inlineStr">
        <is>
          <t>Sin precio publicado; incluye medidor bidireccional para el sistema solar.</t>
        </is>
      </c>
    </row>
    <row r="79">
      <c r="A79" t="inlineStr">
        <is>
          <t>M14</t>
        </is>
      </c>
      <c r="B79" t="inlineStr">
        <is>
          <t>Acometida de acueducto y alcantarillado con Triple A</t>
        </is>
      </c>
      <c r="C79" t="inlineStr">
        <is>
          <t>COP/global</t>
        </is>
      </c>
      <c r="D79" s="6" t="n">
        <v>2500000</v>
      </c>
      <c r="E79" s="6" t="n">
        <v>4000000</v>
      </c>
      <c r="F79" s="6" t="n">
        <v>6000000</v>
      </c>
      <c r="G79" t="inlineStr">
        <is>
          <t>baja</t>
        </is>
      </c>
      <c r="H79" t="inlineStr">
        <is>
          <t>Estimación propia (sin precio publicado encontrado)</t>
        </is>
      </c>
      <c r="I79" t="inlineStr"/>
      <c r="J79" t="inlineStr">
        <is>
          <t>Sin precio publicado.</t>
        </is>
      </c>
    </row>
    <row r="80">
      <c r="A80" t="inlineStr">
        <is>
          <t>M15</t>
        </is>
      </c>
      <c r="B80" t="inlineStr">
        <is>
          <t>Domótica básica (iluminación y escenas)</t>
        </is>
      </c>
      <c r="C80" t="inlineStr">
        <is>
          <t>COP/global</t>
        </is>
      </c>
      <c r="D80" s="6" t="n">
        <v>6000000</v>
      </c>
      <c r="E80" s="6" t="n">
        <v>12000000</v>
      </c>
      <c r="F80" s="6" t="n">
        <v>25000000</v>
      </c>
      <c r="G80" t="inlineStr">
        <is>
          <t>baja</t>
        </is>
      </c>
      <c r="H80" t="inlineStr">
        <is>
          <t>Estimación propia (sin precio publicado encontrado)</t>
        </is>
      </c>
      <c r="I80" t="inlineStr"/>
      <c r="J80" t="inlineStr">
        <is>
          <t>Sin precio publicado.</t>
        </is>
      </c>
    </row>
    <row r="81">
      <c r="A81" t="inlineStr">
        <is>
          <t>M16</t>
        </is>
      </c>
      <c r="B81" t="inlineStr">
        <is>
          <t>Red de datos, CCTV y citofonía</t>
        </is>
      </c>
      <c r="C81" t="inlineStr">
        <is>
          <t>COP/global</t>
        </is>
      </c>
      <c r="D81" s="6" t="n">
        <v>4000000</v>
      </c>
      <c r="E81" s="6" t="n">
        <v>7000000</v>
      </c>
      <c r="F81" s="6" t="n">
        <v>12000000</v>
      </c>
      <c r="G81" t="inlineStr">
        <is>
          <t>baja</t>
        </is>
      </c>
      <c r="H81" t="inlineStr">
        <is>
          <t>Estimación propia (sin precio publicado encontrado)</t>
        </is>
      </c>
      <c r="I81" t="inlineStr"/>
      <c r="J81" t="inlineStr">
        <is>
          <t>Sin precio publicado.</t>
        </is>
      </c>
    </row>
    <row r="82">
      <c r="A82" t="inlineStr">
        <is>
          <t>P1</t>
        </is>
      </c>
      <c r="B82" t="inlineStr">
        <is>
          <t>Piscina de borde infinito en concreto: vaso, impermeabilización, mosaico vítreo y canal de rebose</t>
        </is>
      </c>
      <c r="C82" t="inlineStr">
        <is>
          <t>COP/m²</t>
        </is>
      </c>
      <c r="D82" s="6" t="n">
        <v>2200000</v>
      </c>
      <c r="E82" s="6" t="n">
        <v>3000000</v>
      </c>
      <c r="F82" s="6" t="n">
        <v>4200000</v>
      </c>
      <c r="G82" t="inlineStr">
        <is>
          <t>media</t>
        </is>
      </c>
      <c r="H82" t="inlineStr">
        <is>
          <t>Constructora J. Hernández, cotizador 2026</t>
        </is>
      </c>
      <c r="I82" t="inlineStr">
        <is>
          <t>https://cotizar2026.constructorajhdez.com/</t>
        </is>
      </c>
      <c r="J82" t="inlineStr">
        <is>
          <t>Las piscinas de concreto tradicionales cuestan $60-120 millones; una de 7 × 4 m, $50-80 millones, es decir $1,8-2,9 millones por m². El borde infinito agrega el canal de rebose, el tanque de compensación y un muro con tolerancia milimétrica, por eso el rango sube.</t>
        </is>
      </c>
    </row>
    <row r="83">
      <c r="A83" t="inlineStr">
        <is>
          <t>P2</t>
        </is>
      </c>
      <c r="B83" t="inlineStr">
        <is>
          <t>Equipo de filtración, bombeo y tanque de compensación</t>
        </is>
      </c>
      <c r="C83" t="inlineStr">
        <is>
          <t>COP/global</t>
        </is>
      </c>
      <c r="D83" s="6" t="n">
        <v>12000000</v>
      </c>
      <c r="E83" s="6" t="n">
        <v>18000000</v>
      </c>
      <c r="F83" s="6" t="n">
        <v>28000000</v>
      </c>
      <c r="G83" t="inlineStr">
        <is>
          <t>baja</t>
        </is>
      </c>
      <c r="H83" t="inlineStr">
        <is>
          <t>Estimación propia (sin precio publicado encontrado)</t>
        </is>
      </c>
      <c r="I83" t="inlineStr"/>
      <c r="J83" t="inlineStr">
        <is>
          <t>Sin precio publicado.</t>
        </is>
      </c>
    </row>
    <row r="84">
      <c r="A84" t="inlineStr">
        <is>
          <t>P3</t>
        </is>
      </c>
      <c r="B84" t="inlineStr">
        <is>
          <t>Iluminación LED subacuática</t>
        </is>
      </c>
      <c r="C84" t="inlineStr">
        <is>
          <t>COP/global</t>
        </is>
      </c>
      <c r="D84" s="6" t="n">
        <v>3000000</v>
      </c>
      <c r="E84" s="6" t="n">
        <v>5000000</v>
      </c>
      <c r="F84" s="6" t="n">
        <v>8000000</v>
      </c>
      <c r="G84" t="inlineStr">
        <is>
          <t>baja</t>
        </is>
      </c>
      <c r="H84" t="inlineStr">
        <is>
          <t>Estimación propia (sin precio publicado encontrado)</t>
        </is>
      </c>
      <c r="I84" t="inlineStr"/>
      <c r="J84" t="inlineStr">
        <is>
          <t>Sin precio publicado.</t>
        </is>
      </c>
    </row>
    <row r="85">
      <c r="A85" t="inlineStr">
        <is>
          <t>P5</t>
        </is>
      </c>
      <c r="B85" t="inlineStr">
        <is>
          <t>Espejo de agua de 20 cm con fondo de piedra y recirculación</t>
        </is>
      </c>
      <c r="C85" t="inlineStr">
        <is>
          <t>COP/m²</t>
        </is>
      </c>
      <c r="D85" s="6" t="n">
        <v>900000</v>
      </c>
      <c r="E85" s="6" t="n">
        <v>1300000</v>
      </c>
      <c r="F85" s="6" t="n">
        <v>1900000</v>
      </c>
      <c r="G85" t="inlineStr">
        <is>
          <t>baja</t>
        </is>
      </c>
      <c r="H85" t="inlineStr">
        <is>
          <t>Estimación propia (sin precio publicado encontrado)</t>
        </is>
      </c>
      <c r="I85" t="inlineStr"/>
      <c r="J85" t="inlineStr">
        <is>
          <t>Sin precio publicado.</t>
        </is>
      </c>
    </row>
    <row r="86">
      <c r="A86" t="inlineStr">
        <is>
          <t>P6</t>
        </is>
      </c>
      <c r="B86" t="inlineStr">
        <is>
          <t>Grama bermuda instalada</t>
        </is>
      </c>
      <c r="C86" t="inlineStr">
        <is>
          <t>COP/m²</t>
        </is>
      </c>
      <c r="D86" s="6" t="n">
        <v>20000</v>
      </c>
      <c r="E86" s="6" t="n">
        <v>28000</v>
      </c>
      <c r="F86" s="6" t="n">
        <v>40000</v>
      </c>
      <c r="G86" t="inlineStr">
        <is>
          <t>baja</t>
        </is>
      </c>
      <c r="H86" t="inlineStr">
        <is>
          <t>Estimación propia (sin precio publicado encontrado)</t>
        </is>
      </c>
      <c r="I86" t="inlineStr"/>
      <c r="J86" t="inlineStr">
        <is>
          <t>Sin precio publicado.</t>
        </is>
      </c>
    </row>
    <row r="87">
      <c r="A87" t="inlineStr">
        <is>
          <t>P7</t>
        </is>
      </c>
      <c r="B87" t="inlineStr">
        <is>
          <t>Palma de 6 a 7 m sembrada</t>
        </is>
      </c>
      <c r="C87" t="inlineStr">
        <is>
          <t>COP/und</t>
        </is>
      </c>
      <c r="D87" s="6" t="n">
        <v>1200000</v>
      </c>
      <c r="E87" s="6" t="n">
        <v>2000000</v>
      </c>
      <c r="F87" s="6" t="n">
        <v>3500000</v>
      </c>
      <c r="G87" t="inlineStr">
        <is>
          <t>baja</t>
        </is>
      </c>
      <c r="H87" t="inlineStr">
        <is>
          <t>Estimación propia (sin precio publicado encontrado)</t>
        </is>
      </c>
      <c r="I87" t="inlineStr"/>
      <c r="J87" t="inlineStr">
        <is>
          <t>Sin precio publicado.</t>
        </is>
      </c>
    </row>
    <row r="88">
      <c r="A88" t="inlineStr">
        <is>
          <t>P8</t>
        </is>
      </c>
      <c r="B88" t="inlineStr">
        <is>
          <t>Guayacán grande sembrado</t>
        </is>
      </c>
      <c r="C88" t="inlineStr">
        <is>
          <t>COP/und</t>
        </is>
      </c>
      <c r="D88" s="6" t="n">
        <v>800000</v>
      </c>
      <c r="E88" s="6" t="n">
        <v>1500000</v>
      </c>
      <c r="F88" s="6" t="n">
        <v>2500000</v>
      </c>
      <c r="G88" t="inlineStr">
        <is>
          <t>baja</t>
        </is>
      </c>
      <c r="H88" t="inlineStr">
        <is>
          <t>Estimación propia (sin precio publicado encontrado)</t>
        </is>
      </c>
      <c r="I88" t="inlineStr"/>
      <c r="J88" t="inlineStr">
        <is>
          <t>Sin precio publicado.</t>
        </is>
      </c>
    </row>
    <row r="89">
      <c r="A89" t="inlineStr">
        <is>
          <t>P9</t>
        </is>
      </c>
      <c r="B89" t="inlineStr">
        <is>
          <t>Seto de swinglea sembrado</t>
        </is>
      </c>
      <c r="C89" t="inlineStr">
        <is>
          <t>COP/ml</t>
        </is>
      </c>
      <c r="D89" s="6" t="n">
        <v>35000</v>
      </c>
      <c r="E89" s="6" t="n">
        <v>55000</v>
      </c>
      <c r="F89" s="6" t="n">
        <v>80000</v>
      </c>
      <c r="G89" t="inlineStr">
        <is>
          <t>baja</t>
        </is>
      </c>
      <c r="H89" t="inlineStr">
        <is>
          <t>Estimación propia (sin precio publicado encontrado)</t>
        </is>
      </c>
      <c r="I89" t="inlineStr"/>
      <c r="J89" t="inlineStr">
        <is>
          <t>Sin precio publicado.</t>
        </is>
      </c>
    </row>
    <row r="90">
      <c r="A90" t="inlineStr">
        <is>
          <t>P10</t>
        </is>
      </c>
      <c r="B90" t="inlineStr">
        <is>
          <t>Losetas de concreto con junta verde sobre base granular</t>
        </is>
      </c>
      <c r="C90" t="inlineStr">
        <is>
          <t>COP/m²</t>
        </is>
      </c>
      <c r="D90" s="6" t="n">
        <v>60000</v>
      </c>
      <c r="E90" s="6" t="n">
        <v>85000</v>
      </c>
      <c r="F90" s="6" t="n">
        <v>120000</v>
      </c>
      <c r="G90" t="inlineStr">
        <is>
          <t>baja</t>
        </is>
      </c>
      <c r="H90" t="inlineStr">
        <is>
          <t>Estimación propia (sin precio publicado encontrado)</t>
        </is>
      </c>
      <c r="I90" t="inlineStr"/>
      <c r="J90" t="inlineStr">
        <is>
          <t>Sin precio publicado.</t>
        </is>
      </c>
    </row>
    <row r="91">
      <c r="A91" t="inlineStr">
        <is>
          <t>S1</t>
        </is>
      </c>
      <c r="B91" t="inlineStr">
        <is>
          <t>Estudio de suelos con ensayos de expansión</t>
        </is>
      </c>
      <c r="C91" t="inlineStr">
        <is>
          <t>COP/global</t>
        </is>
      </c>
      <c r="D91" s="6" t="n">
        <v>3000000</v>
      </c>
      <c r="E91" s="6" t="n">
        <v>4500000</v>
      </c>
      <c r="F91" s="6" t="n">
        <v>7000000</v>
      </c>
      <c r="G91" t="inlineStr">
        <is>
          <t>baja</t>
        </is>
      </c>
      <c r="H91" t="inlineStr">
        <is>
          <t>Estimación propia (sin precio publicado encontrado)</t>
        </is>
      </c>
      <c r="I91" t="inlineStr"/>
      <c r="J91" t="inlineStr">
        <is>
          <t>Sin precio publicado.</t>
        </is>
      </c>
    </row>
    <row r="92">
      <c r="A92" t="inlineStr">
        <is>
          <t>S2</t>
        </is>
      </c>
      <c r="B92" t="inlineStr">
        <is>
          <t>Diseño arquitectónico completo (anteproyecto, proyecto y planos de construcción)</t>
        </is>
      </c>
      <c r="C92" t="inlineStr">
        <is>
          <t>COP/m²</t>
        </is>
      </c>
      <c r="D92" s="6" t="n">
        <v>45000</v>
      </c>
      <c r="E92" s="6" t="n">
        <v>70000</v>
      </c>
      <c r="F92" s="6" t="n">
        <v>110000</v>
      </c>
      <c r="G92" t="inlineStr">
        <is>
          <t>baja</t>
        </is>
      </c>
      <c r="H92" t="inlineStr">
        <is>
          <t>Estimación propia (sin precio publicado encontrado)</t>
        </is>
      </c>
      <c r="I92" t="inlineStr"/>
      <c r="J92" t="inlineStr">
        <is>
          <t>Sin tarifa publicada de 2026; el reglamento de honorarios (Decreto 2090 de 1989) cobra un porcentaje del costo de obra. $70.000/m² equivale a cerca del 1,5-2 % del costo directo.</t>
        </is>
      </c>
    </row>
    <row r="93">
      <c r="A93" t="inlineStr">
        <is>
          <t>S3</t>
        </is>
      </c>
      <c r="B93" t="inlineStr">
        <is>
          <t>Diseño estructural NSR-10</t>
        </is>
      </c>
      <c r="C93" t="inlineStr">
        <is>
          <t>COP/m²</t>
        </is>
      </c>
      <c r="D93" s="6" t="n">
        <v>12000</v>
      </c>
      <c r="E93" s="6" t="n">
        <v>18000</v>
      </c>
      <c r="F93" s="6" t="n">
        <v>28000</v>
      </c>
      <c r="G93" t="inlineStr">
        <is>
          <t>baja</t>
        </is>
      </c>
      <c r="H93" t="inlineStr">
        <is>
          <t>Estimación propia (sin precio publicado encontrado)</t>
        </is>
      </c>
      <c r="I93" t="inlineStr"/>
      <c r="J93" t="inlineStr">
        <is>
          <t>Sin precio publicado.</t>
        </is>
      </c>
    </row>
    <row r="94">
      <c r="A94" t="inlineStr">
        <is>
          <t>S4</t>
        </is>
      </c>
      <c r="B94" t="inlineStr">
        <is>
          <t>Diseños eléctrico RETIE, hidrosanitario y de gas</t>
        </is>
      </c>
      <c r="C94" t="inlineStr">
        <is>
          <t>COP/global</t>
        </is>
      </c>
      <c r="D94" s="6" t="n">
        <v>5000000</v>
      </c>
      <c r="E94" s="6" t="n">
        <v>8000000</v>
      </c>
      <c r="F94" s="6" t="n">
        <v>12000000</v>
      </c>
      <c r="G94" t="inlineStr">
        <is>
          <t>baja</t>
        </is>
      </c>
      <c r="H94" t="inlineStr">
        <is>
          <t>Estimación propia (sin precio publicado encontrado)</t>
        </is>
      </c>
      <c r="I94" t="inlineStr"/>
      <c r="J94" t="inlineStr">
        <is>
          <t>Sin precio publicado.</t>
        </is>
      </c>
    </row>
    <row r="95">
      <c r="A95" t="inlineStr">
        <is>
          <t>S5</t>
        </is>
      </c>
      <c r="B95" t="inlineStr">
        <is>
          <t>Expensas de licencia de construcción en curaduría (251 m², estrato 6)</t>
        </is>
      </c>
      <c r="C95" t="inlineStr">
        <is>
          <t>COP/global</t>
        </is>
      </c>
      <c r="D95" s="6" t="n">
        <v>9000000</v>
      </c>
      <c r="E95" s="6" t="n">
        <v>9900000</v>
      </c>
      <c r="F95" s="6" t="n">
        <v>11000000</v>
      </c>
      <c r="G95" t="inlineStr">
        <is>
          <t>media</t>
        </is>
      </c>
      <c r="H95" t="inlineStr">
        <is>
          <t>Curaduría 1 de Medellín, fórmula de expensas</t>
        </is>
      </c>
      <c r="I95" t="inlineStr">
        <is>
          <t>https://curaduria1medellin.com/descargas/expensas.pdf</t>
        </is>
      </c>
      <c r="J95" t="inlineStr">
        <is>
          <t>Fórmula del Decreto 1077 de 2015: E = Cf·i·m + Cv·i·j·m, con Cf = 10,01 UVT ($524.264 en 2026), Cv ≈ $2.621.319, i = 2,5 (estrato 6), m ≈ 0,938 y j = 3,8/(0,12 + 800/251) = 1,15. Da $8,3 millones + IVA = $9,9 millones. El factor m de Barranquilla debe confirmarse con la curaduría.</t>
        </is>
      </c>
    </row>
    <row r="96">
      <c r="A96" t="inlineStr">
        <is>
          <t>S6</t>
        </is>
      </c>
      <c r="B96" t="inlineStr">
        <is>
          <t>Interventoría o supervisión técnica</t>
        </is>
      </c>
      <c r="C96" t="inlineStr">
        <is>
          <t>% del costo directo</t>
        </is>
      </c>
      <c r="D96" t="n">
        <v>3</v>
      </c>
      <c r="E96" t="n">
        <v>4</v>
      </c>
      <c r="F96" t="n">
        <v>6</v>
      </c>
      <c r="G96" t="inlineStr">
        <is>
          <t>baja</t>
        </is>
      </c>
      <c r="H96" t="inlineStr">
        <is>
          <t>Estimación propia (sin precio publicado encontrado)</t>
        </is>
      </c>
      <c r="I96" t="inlineStr"/>
      <c r="J96" t="inlineStr">
        <is>
          <t>Sin tarifa publicada; práctica de mercado.</t>
        </is>
      </c>
    </row>
    <row r="97">
      <c r="A97" t="inlineStr">
        <is>
          <t>S7</t>
        </is>
      </c>
      <c r="B97" t="inlineStr">
        <is>
          <t>Levantamiento topográfico</t>
        </is>
      </c>
      <c r="C97" t="inlineStr">
        <is>
          <t>COP/global</t>
        </is>
      </c>
      <c r="D97" s="6" t="n">
        <v>1200000</v>
      </c>
      <c r="E97" s="6" t="n">
        <v>1800000</v>
      </c>
      <c r="F97" s="6" t="n">
        <v>2800000</v>
      </c>
      <c r="G97" t="inlineStr">
        <is>
          <t>baja</t>
        </is>
      </c>
      <c r="H97" t="inlineStr">
        <is>
          <t>Estimación propia (sin precio publicado encontrado)</t>
        </is>
      </c>
      <c r="I97" t="inlineStr"/>
      <c r="J97" t="inlineStr">
        <is>
          <t>Sin precio publicado.</t>
        </is>
      </c>
    </row>
    <row r="98">
      <c r="A98" t="inlineStr">
        <is>
          <t>S8</t>
        </is>
      </c>
      <c r="B98" t="inlineStr">
        <is>
          <t>Pólizas de cumplimiento y responsabilidad civil</t>
        </is>
      </c>
      <c r="C98" t="inlineStr">
        <is>
          <t>% del contrato</t>
        </is>
      </c>
      <c r="D98" t="n">
        <v>0.6</v>
      </c>
      <c r="E98" t="n">
        <v>0.9</v>
      </c>
      <c r="F98" t="n">
        <v>1.3</v>
      </c>
      <c r="G98" t="inlineStr">
        <is>
          <t>baja</t>
        </is>
      </c>
      <c r="H98" t="inlineStr">
        <is>
          <t>Estimación propia (sin precio publicado encontrado)</t>
        </is>
      </c>
      <c r="I98" t="inlineStr"/>
      <c r="J98" t="inlineStr">
        <is>
          <t>Sin tarifa publicada.</t>
        </is>
      </c>
    </row>
    <row r="100">
      <c r="B100" s="14" t="inlineStr">
        <is>
          <t>Supuestos propios</t>
        </is>
      </c>
    </row>
    <row r="101">
      <c r="B101" t="inlineStr">
        <is>
          <t>Cerramiento provisional con postes y polisombra: material por ml</t>
        </is>
      </c>
      <c r="D101" s="6" t="n">
        <v>18000</v>
      </c>
      <c r="E101" s="6" t="n">
        <v>26000</v>
      </c>
      <c r="F101" s="6" t="n">
        <v>38000</v>
      </c>
    </row>
    <row r="102">
      <c r="B102" t="inlineStr">
        <is>
          <t>Contenedor-bodega y baño portátil: alquiler mensual</t>
        </is>
      </c>
      <c r="D102" s="6" t="n">
        <v>1100000</v>
      </c>
      <c r="E102" s="6" t="n">
        <v>1500000</v>
      </c>
      <c r="F102" s="6" t="n">
        <v>2100000</v>
      </c>
    </row>
    <row r="103">
      <c r="B103" t="inlineStr">
        <is>
          <t>Agua y energía provisionales de obra: consumo mensual</t>
        </is>
      </c>
      <c r="D103" s="6" t="n">
        <v>550000</v>
      </c>
      <c r="E103" s="6" t="n">
        <v>850000</v>
      </c>
      <c r="F103" s="6" t="n">
        <v>1250000</v>
      </c>
    </row>
    <row r="104">
      <c r="B104" t="inlineStr">
        <is>
          <t>Cargue, transporte y disposición de sobrantes en botadero autorizado, por m³ suelto</t>
        </is>
      </c>
      <c r="D104" s="6" t="n">
        <v>28000</v>
      </c>
      <c r="E104" s="6" t="n">
        <v>38000</v>
      </c>
      <c r="F104" s="6" t="n">
        <v>55000</v>
      </c>
    </row>
    <row r="105">
      <c r="B105" t="inlineStr">
        <is>
          <t>Formaleta (alquiler + armado y desarme) por m² de contacto</t>
        </is>
      </c>
      <c r="D105" s="6" t="n">
        <v>28000</v>
      </c>
      <c r="E105" s="6" t="n">
        <v>38000</v>
      </c>
      <c r="F105" s="6" t="n">
        <v>52000</v>
      </c>
    </row>
    <row r="106">
      <c r="B106" t="inlineStr">
        <is>
          <t>Alistado de piso en mortero de nivelación (material + mano de obra)</t>
        </is>
      </c>
      <c r="D106" s="6" t="n">
        <v>24000</v>
      </c>
      <c r="E106" s="6" t="n">
        <v>32000</v>
      </c>
      <c r="F106" s="6" t="n">
        <v>42000</v>
      </c>
    </row>
    <row r="107">
      <c r="B107" t="inlineStr">
        <is>
          <t>Pegante flexible y sistema de nivelación para gran formato, por m²</t>
        </is>
      </c>
      <c r="D107" s="6" t="n">
        <v>14000</v>
      </c>
      <c r="E107" s="6" t="n">
        <v>19000</v>
      </c>
      <c r="F107" s="6" t="n">
        <v>26000</v>
      </c>
    </row>
    <row r="108">
      <c r="B108" t="inlineStr">
        <is>
          <t>Endurecedor, pulido y sellado de placa de garaje</t>
        </is>
      </c>
      <c r="D108" s="6" t="n">
        <v>45000</v>
      </c>
      <c r="E108" s="6" t="n">
        <v>65000</v>
      </c>
      <c r="F108" s="6" t="n">
        <v>90000</v>
      </c>
    </row>
    <row r="109">
      <c r="B109" t="inlineStr">
        <is>
          <t>Estructura metálica de pérgola y celosías (≈350 kg) suministrada, pintada e instalada</t>
        </is>
      </c>
      <c r="D109" s="6" t="n">
        <v>7000000</v>
      </c>
      <c r="E109" s="6" t="n">
        <v>9500000</v>
      </c>
      <c r="F109" s="6" t="n">
        <v>13000000</v>
      </c>
    </row>
    <row r="110">
      <c r="B110" t="inlineStr">
        <is>
          <t>Gravilla blanca de 3 cm sobre cubierta, por m²</t>
        </is>
      </c>
      <c r="D110" s="6" t="n">
        <v>12000</v>
      </c>
      <c r="E110" s="6" t="n">
        <v>18000</v>
      </c>
      <c r="F110" s="6" t="n">
        <v>26000</v>
      </c>
    </row>
    <row r="111">
      <c r="B111" t="inlineStr">
        <is>
          <t>Vidrio templado de 10 mm para ducha con herrajes, por m²</t>
        </is>
      </c>
      <c r="D111" s="6" t="n">
        <v>380000</v>
      </c>
      <c r="E111" s="6" t="n">
        <v>520000</v>
      </c>
      <c r="F111" s="6" t="n">
        <v>750000</v>
      </c>
    </row>
    <row r="112">
      <c r="B112" t="inlineStr">
        <is>
          <t>Espejo plata de 6 mm instalado, por m²</t>
        </is>
      </c>
      <c r="D112" s="6" t="n">
        <v>160000</v>
      </c>
      <c r="E112" s="6" t="n">
        <v>230000</v>
      </c>
      <c r="F112" s="6" t="n">
        <v>340000</v>
      </c>
    </row>
    <row r="113">
      <c r="B113" t="inlineStr">
        <is>
          <t>Lavaplatos de submontar, grifería de cocina, lavadero y ducha de mascotas</t>
        </is>
      </c>
      <c r="D113" s="6" t="n">
        <v>2200000</v>
      </c>
      <c r="E113" s="6" t="n">
        <v>3600000</v>
      </c>
      <c r="F113" s="6" t="n">
        <v>6000000</v>
      </c>
    </row>
    <row r="114">
      <c r="B114" t="inlineStr">
        <is>
          <t>Accesorios de baño (toallero, papelera, ganchos) por baño</t>
        </is>
      </c>
      <c r="D114" s="6" t="n">
        <v>450000</v>
      </c>
      <c r="E114" s="6" t="n">
        <v>800000</v>
      </c>
      <c r="F114" s="6" t="n">
        <v>1400000</v>
      </c>
    </row>
    <row r="115">
      <c r="B115" t="inlineStr">
        <is>
          <t>Casa de mascotas de dos niveles en teca, rampa, cerca de 15 ml y bebederos</t>
        </is>
      </c>
      <c r="D115" s="6" t="n">
        <v>6500000</v>
      </c>
      <c r="E115" s="6" t="n">
        <v>9500000</v>
      </c>
      <c r="F115" s="6" t="n">
        <v>14000000</v>
      </c>
    </row>
    <row r="116">
      <c r="B116" t="inlineStr">
        <is>
          <t>Barandas y portones de los patios de servicio y mascotas</t>
        </is>
      </c>
      <c r="D116" s="6" t="n">
        <v>1800000</v>
      </c>
      <c r="E116" s="6" t="n">
        <v>2800000</v>
      </c>
      <c r="F116" s="6" t="n">
        <v>4200000</v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3" r:id="rId51"/>
    <hyperlink xmlns:r="http://schemas.openxmlformats.org/officeDocument/2006/relationships" ref="I58" r:id="rId52"/>
    <hyperlink xmlns:r="http://schemas.openxmlformats.org/officeDocument/2006/relationships" ref="I69" r:id="rId53"/>
    <hyperlink xmlns:r="http://schemas.openxmlformats.org/officeDocument/2006/relationships" ref="I71" r:id="rId54"/>
    <hyperlink xmlns:r="http://schemas.openxmlformats.org/officeDocument/2006/relationships" ref="I73" r:id="rId55"/>
    <hyperlink xmlns:r="http://schemas.openxmlformats.org/officeDocument/2006/relationships" ref="I74" r:id="rId56"/>
    <hyperlink xmlns:r="http://schemas.openxmlformats.org/officeDocument/2006/relationships" ref="I75" r:id="rId57"/>
    <hyperlink xmlns:r="http://schemas.openxmlformats.org/officeDocument/2006/relationships" ref="I82" r:id="rId58"/>
    <hyperlink xmlns:r="http://schemas.openxmlformats.org/officeDocument/2006/relationships" ref="I95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2026-10-13T11:10:51Z</dcterms:created>
  <dcterms:modified xmlns:dcterms="http://purl.org/dc/terms/" xmlns:xsi="http://www.w3.org/2001/XMLSchema-instance" xsi:type="dcterms:W3CDTF">2026-10-13T11:10:51Z</dcterms:modified>
</cp:coreProperties>
</file>